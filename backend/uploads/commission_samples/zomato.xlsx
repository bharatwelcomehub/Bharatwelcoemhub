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a7183c81af6c78a7/Documents/Manaswini/1.PURNABRAMHA SETUP'S/1.MFPL FINANCE/SUMMARY FINANACE MFPL/SAMBHAJ INAGAR EXPENSES CURRENT/S NAGAR EXP SHEET APR 2025-MARCH 2026/S NAGAR ZOMATO 2025-2026/"/>
    </mc:Choice>
  </mc:AlternateContent>
  <xr:revisionPtr revIDLastSave="9" documentId="8_{8ACFA887-105B-43CA-A928-4FC395B6A454}" xr6:coauthVersionLast="47" xr6:coauthVersionMax="47" xr10:uidLastSave="{4A8B2BC0-F389-4175-8C32-CBFBCE10CD58}"/>
  <bookViews>
    <workbookView xWindow="-108" yWindow="-108" windowWidth="23256" windowHeight="12456" activeTab="2" xr2:uid="{00000000-000D-0000-FFFF-FFFF00000000}"/>
  </bookViews>
  <sheets>
    <sheet name="Summary" sheetId="1" r:id="rId1"/>
    <sheet name="Payout Breakup" sheetId="2" r:id="rId2"/>
    <sheet name="Order Level" sheetId="3" r:id="rId3"/>
    <sheet name="Addition Deductions Details" sheetId="4" r:id="rId4"/>
    <sheet name="Discounts Summary" sheetId="5" r:id="rId5"/>
    <sheet name="Glossary" sheetId="6" r:id="rId6"/>
    <sheet name="HSummary" sheetId="7" state="hidden" r:id="rId7"/>
    <sheet name="HDiscount" sheetId="8" state="hidden"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6" l="1"/>
  <c r="F48" i="5"/>
  <c r="E48" i="5"/>
  <c r="D48" i="5"/>
  <c r="F47" i="5"/>
  <c r="E47" i="5"/>
  <c r="D47" i="5"/>
  <c r="F46" i="5"/>
  <c r="E46" i="5"/>
  <c r="D46" i="5"/>
  <c r="H45" i="5"/>
  <c r="F45" i="5"/>
  <c r="E45" i="5"/>
  <c r="D45" i="5"/>
  <c r="G45" i="5" s="1"/>
  <c r="F44" i="5"/>
  <c r="E44" i="5"/>
  <c r="D44" i="5"/>
  <c r="F43" i="5"/>
  <c r="E43" i="5"/>
  <c r="D43" i="5"/>
  <c r="F42" i="5"/>
  <c r="G42" i="5" s="1"/>
  <c r="E42" i="5"/>
  <c r="D42" i="5"/>
  <c r="F41" i="5"/>
  <c r="E41" i="5"/>
  <c r="H41" i="5" s="1"/>
  <c r="D41" i="5"/>
  <c r="G41" i="5" s="1"/>
  <c r="H40" i="5"/>
  <c r="F40" i="5"/>
  <c r="G40" i="5" s="1"/>
  <c r="E40" i="5"/>
  <c r="D40" i="5"/>
  <c r="F39" i="5"/>
  <c r="H39" i="5" s="1"/>
  <c r="E39" i="5"/>
  <c r="D39" i="5"/>
  <c r="F38" i="5"/>
  <c r="E38" i="5"/>
  <c r="D38" i="5"/>
  <c r="F37" i="5"/>
  <c r="H37" i="5" s="1"/>
  <c r="E37" i="5"/>
  <c r="D37" i="5"/>
  <c r="F36" i="5"/>
  <c r="E36" i="5"/>
  <c r="D36" i="5"/>
  <c r="F35" i="5"/>
  <c r="E35" i="5"/>
  <c r="H35" i="5" s="1"/>
  <c r="D35" i="5"/>
  <c r="G35" i="5" s="1"/>
  <c r="F34" i="5"/>
  <c r="G34" i="5" s="1"/>
  <c r="E34" i="5"/>
  <c r="D34" i="5"/>
  <c r="F33" i="5"/>
  <c r="H33" i="5" s="1"/>
  <c r="E33" i="5"/>
  <c r="D33" i="5"/>
  <c r="F32" i="5"/>
  <c r="H32" i="5" s="1"/>
  <c r="E32" i="5"/>
  <c r="D32" i="5"/>
  <c r="F31" i="5"/>
  <c r="E31" i="5"/>
  <c r="D31" i="5"/>
  <c r="F30" i="5"/>
  <c r="E30" i="5"/>
  <c r="D30" i="5"/>
  <c r="F29" i="5"/>
  <c r="E29" i="5"/>
  <c r="D29" i="5"/>
  <c r="F28" i="5"/>
  <c r="E28" i="5"/>
  <c r="H28" i="5" s="1"/>
  <c r="D28" i="5"/>
  <c r="H27" i="5"/>
  <c r="F27" i="5"/>
  <c r="E27" i="5"/>
  <c r="D27" i="5"/>
  <c r="G27" i="5" s="1"/>
  <c r="F26" i="5"/>
  <c r="H26" i="5" s="1"/>
  <c r="E26" i="5"/>
  <c r="D26" i="5"/>
  <c r="F25" i="5"/>
  <c r="E25" i="5"/>
  <c r="D25" i="5"/>
  <c r="G25" i="5" s="1"/>
  <c r="H24" i="5"/>
  <c r="F24" i="5"/>
  <c r="G24" i="5" s="1"/>
  <c r="E24" i="5"/>
  <c r="D24" i="5"/>
  <c r="F23" i="5"/>
  <c r="E23" i="5"/>
  <c r="H23" i="5" s="1"/>
  <c r="D23" i="5"/>
  <c r="H22" i="5"/>
  <c r="F22" i="5"/>
  <c r="E22" i="5"/>
  <c r="D22" i="5"/>
  <c r="H21" i="5"/>
  <c r="G21" i="5"/>
  <c r="F21" i="5"/>
  <c r="E21" i="5"/>
  <c r="D21" i="5"/>
  <c r="F20" i="5"/>
  <c r="E20" i="5"/>
  <c r="D20" i="5"/>
  <c r="F19" i="5"/>
  <c r="E19" i="5"/>
  <c r="D19" i="5"/>
  <c r="G19" i="5" s="1"/>
  <c r="F18" i="5"/>
  <c r="E18" i="5"/>
  <c r="D18" i="5"/>
  <c r="F17" i="5"/>
  <c r="E17" i="5"/>
  <c r="H17" i="5" s="1"/>
  <c r="D17" i="5"/>
  <c r="G17" i="5" s="1"/>
  <c r="F16" i="5"/>
  <c r="G16" i="5" s="1"/>
  <c r="E16" i="5"/>
  <c r="D16" i="5"/>
  <c r="G15" i="5"/>
  <c r="F15" i="5"/>
  <c r="H15" i="5" s="1"/>
  <c r="E15" i="5"/>
  <c r="D15" i="5"/>
  <c r="F14" i="5"/>
  <c r="E14" i="5"/>
  <c r="D14" i="5"/>
  <c r="F13" i="5"/>
  <c r="H13" i="5" s="1"/>
  <c r="E13" i="5"/>
  <c r="D13" i="5"/>
  <c r="F12" i="5"/>
  <c r="E12" i="5"/>
  <c r="D12" i="5"/>
  <c r="F11" i="5"/>
  <c r="E11" i="5"/>
  <c r="D11" i="5"/>
  <c r="F10" i="5"/>
  <c r="H10" i="5" s="1"/>
  <c r="E10" i="5"/>
  <c r="D10" i="5"/>
  <c r="F9" i="5"/>
  <c r="E9" i="5"/>
  <c r="H9" i="5" s="1"/>
  <c r="D9" i="5"/>
  <c r="G9" i="5" s="1"/>
  <c r="F8" i="5"/>
  <c r="H8" i="5" s="1"/>
  <c r="E8" i="5"/>
  <c r="D8" i="5"/>
  <c r="F7" i="5"/>
  <c r="E7" i="5"/>
  <c r="D7" i="5"/>
  <c r="H6" i="5"/>
  <c r="F6" i="5"/>
  <c r="G6" i="5" s="1"/>
  <c r="E6" i="5"/>
  <c r="D6" i="5"/>
  <c r="C5" i="5" a="1"/>
  <c r="C5" i="5" s="1"/>
  <c r="E4" i="5"/>
  <c r="C2" i="5"/>
  <c r="B2" i="4"/>
  <c r="D48" i="2" s="1"/>
  <c r="F48" i="2" s="1"/>
  <c r="E60" i="2"/>
  <c r="D60" i="2"/>
  <c r="F60" i="2" s="1"/>
  <c r="E59" i="2"/>
  <c r="D59" i="2"/>
  <c r="F59" i="2" s="1"/>
  <c r="D54" i="2"/>
  <c r="F54" i="2" s="1"/>
  <c r="D53" i="2"/>
  <c r="F53" i="2" s="1"/>
  <c r="D52" i="2"/>
  <c r="F52" i="2" s="1"/>
  <c r="E51" i="2"/>
  <c r="F51" i="2" s="1"/>
  <c r="F50" i="2" s="1"/>
  <c r="E50" i="2"/>
  <c r="D46" i="2"/>
  <c r="F46" i="2" s="1"/>
  <c r="F44" i="2"/>
  <c r="D44" i="2" a="1"/>
  <c r="D44" i="2"/>
  <c r="D43" i="2" a="1"/>
  <c r="D43" i="2"/>
  <c r="F43" i="2" s="1"/>
  <c r="F42" i="2"/>
  <c r="F41" i="2" s="1"/>
  <c r="D42" i="2" a="1"/>
  <c r="D42" i="2"/>
  <c r="D41" i="2" s="1"/>
  <c r="D39" i="2"/>
  <c r="E38" i="2"/>
  <c r="D38" i="2"/>
  <c r="C38" i="2"/>
  <c r="E37" i="2"/>
  <c r="D37" i="2"/>
  <c r="E36" i="2"/>
  <c r="D36" i="2"/>
  <c r="D29" i="2" s="1"/>
  <c r="E35" i="2"/>
  <c r="F35" i="2" s="1"/>
  <c r="D35" i="2"/>
  <c r="C35" i="2"/>
  <c r="E34" i="2"/>
  <c r="D34" i="2"/>
  <c r="F34" i="2" s="1"/>
  <c r="C34" i="2"/>
  <c r="E33" i="2"/>
  <c r="F33" i="2" s="1"/>
  <c r="D33" i="2"/>
  <c r="C33" i="2"/>
  <c r="E32" i="2"/>
  <c r="D32" i="2"/>
  <c r="C32" i="2"/>
  <c r="E31" i="2"/>
  <c r="F31" i="2" s="1"/>
  <c r="E30" i="2"/>
  <c r="D30" i="2"/>
  <c r="C30" i="2"/>
  <c r="D26" i="2"/>
  <c r="F26" i="2" s="1"/>
  <c r="C26" i="2"/>
  <c r="E25" i="2"/>
  <c r="F25" i="2" s="1"/>
  <c r="D25" i="2"/>
  <c r="C25" i="2"/>
  <c r="E24" i="2"/>
  <c r="E22" i="2" s="1"/>
  <c r="D24" i="2"/>
  <c r="D22" i="2" s="1"/>
  <c r="C24" i="2"/>
  <c r="E23" i="2"/>
  <c r="D23" i="2"/>
  <c r="F23" i="2" s="1"/>
  <c r="C23" i="2"/>
  <c r="E20" i="2"/>
  <c r="E18" i="2" s="1"/>
  <c r="D20" i="2"/>
  <c r="C20" i="2"/>
  <c r="E19" i="2"/>
  <c r="D19" i="2"/>
  <c r="C19" i="2"/>
  <c r="E14" i="2"/>
  <c r="E6" i="2" s="1"/>
  <c r="E16" i="2" s="1"/>
  <c r="D14" i="2"/>
  <c r="C14" i="2"/>
  <c r="D13" i="2"/>
  <c r="F13" i="2" s="1"/>
  <c r="C13" i="2"/>
  <c r="F12" i="2"/>
  <c r="D12" i="2"/>
  <c r="C12" i="2"/>
  <c r="D11" i="2"/>
  <c r="F11" i="2" s="1"/>
  <c r="C11" i="2"/>
  <c r="D10" i="2"/>
  <c r="F10" i="2" s="1"/>
  <c r="C10" i="2"/>
  <c r="D9" i="2"/>
  <c r="F9" i="2" s="1"/>
  <c r="C9" i="2"/>
  <c r="D8" i="2"/>
  <c r="F8" i="2" s="1"/>
  <c r="C8" i="2"/>
  <c r="D7" i="2"/>
  <c r="F7" i="2" s="1"/>
  <c r="C7" i="2"/>
  <c r="E4" i="2"/>
  <c r="D4" i="2"/>
  <c r="F4" i="2" s="1"/>
  <c r="C16" i="1" s="1"/>
  <c r="C18" i="1"/>
  <c r="C15" i="1"/>
  <c r="C14" i="1"/>
  <c r="C13" i="1"/>
  <c r="C12" i="1"/>
  <c r="C11" i="1"/>
  <c r="C10" i="1"/>
  <c r="C9" i="1"/>
  <c r="C8" i="1"/>
  <c r="C7" i="1"/>
  <c r="C6" i="1"/>
  <c r="C5" i="1"/>
  <c r="C4" i="1"/>
  <c r="G13" i="5" l="1"/>
  <c r="H16" i="5"/>
  <c r="H18" i="5"/>
  <c r="H31" i="5"/>
  <c r="G39" i="5"/>
  <c r="H42" i="5"/>
  <c r="H44" i="5"/>
  <c r="H47" i="5"/>
  <c r="H20" i="5"/>
  <c r="D6" i="2"/>
  <c r="D16" i="2" s="1"/>
  <c r="F19" i="2"/>
  <c r="F32" i="2"/>
  <c r="F36" i="2"/>
  <c r="D28" i="2"/>
  <c r="H7" i="5"/>
  <c r="H12" i="5"/>
  <c r="H25" i="5"/>
  <c r="G28" i="5"/>
  <c r="G31" i="5"/>
  <c r="H34" i="5"/>
  <c r="G36" i="5"/>
  <c r="F38" i="2"/>
  <c r="G10" i="5"/>
  <c r="G11" i="5"/>
  <c r="H14" i="5"/>
  <c r="H19" i="5"/>
  <c r="G22" i="5"/>
  <c r="G30" i="5"/>
  <c r="G33" i="5"/>
  <c r="H36" i="5"/>
  <c r="H38" i="5"/>
  <c r="G46" i="5"/>
  <c r="D18" i="2"/>
  <c r="E29" i="2"/>
  <c r="E28" i="2" s="1"/>
  <c r="E56" i="2" s="1"/>
  <c r="F37" i="2"/>
  <c r="H11" i="5"/>
  <c r="G29" i="5"/>
  <c r="H30" i="5"/>
  <c r="H43" i="5"/>
  <c r="H46" i="5"/>
  <c r="H48" i="5"/>
  <c r="G23" i="5"/>
  <c r="H29" i="5"/>
  <c r="F5" i="5"/>
  <c r="E5" i="5"/>
  <c r="D5" i="5"/>
  <c r="D56" i="2"/>
  <c r="G14" i="5"/>
  <c r="G20" i="5"/>
  <c r="G26" i="5"/>
  <c r="G32" i="5"/>
  <c r="G38" i="5"/>
  <c r="G44" i="5"/>
  <c r="G37" i="5"/>
  <c r="G43" i="5"/>
  <c r="F14" i="2"/>
  <c r="F6" i="2" s="1"/>
  <c r="F16" i="2" s="1"/>
  <c r="F30" i="2"/>
  <c r="F39" i="2"/>
  <c r="G8" i="5"/>
  <c r="F24" i="2"/>
  <c r="F22" i="2" s="1"/>
  <c r="G7" i="5"/>
  <c r="F20" i="2"/>
  <c r="F18" i="2" s="1"/>
  <c r="G12" i="5"/>
  <c r="G18" i="5"/>
  <c r="G48" i="5"/>
  <c r="G47" i="5"/>
  <c r="D50" i="2"/>
  <c r="F56" i="2" l="1"/>
  <c r="C17" i="1" s="1"/>
  <c r="F28" i="2"/>
  <c r="F29" i="2"/>
  <c r="H5" i="5"/>
  <c r="G5" i="5"/>
</calcChain>
</file>

<file path=xl/sharedStrings.xml><?xml version="1.0" encoding="utf-8"?>
<sst xmlns="http://schemas.openxmlformats.org/spreadsheetml/2006/main" count="3048" uniqueCount="813">
  <si>
    <t>Report Summary</t>
  </si>
  <si>
    <t>Report Period</t>
  </si>
  <si>
    <t>Res id</t>
  </si>
  <si>
    <t>MID</t>
  </si>
  <si>
    <t>Legal Entity</t>
  </si>
  <si>
    <t>Res Name</t>
  </si>
  <si>
    <t>Address</t>
  </si>
  <si>
    <t>PAN</t>
  </si>
  <si>
    <t>GSTIN</t>
  </si>
  <si>
    <t>TAN Number</t>
  </si>
  <si>
    <t>Pay-out cycle</t>
  </si>
  <si>
    <t>Zomato GSTIN - TCS</t>
  </si>
  <si>
    <t>Zomato GSTIN - Regular</t>
  </si>
  <si>
    <r>
      <rPr>
        <b/>
        <sz val="13"/>
        <color theme="1"/>
        <rFont val="Proxima Nova"/>
      </rPr>
      <t xml:space="preserve">Total Orders </t>
    </r>
    <r>
      <rPr>
        <sz val="13"/>
        <color theme="1"/>
        <rFont val="Proxima Nova"/>
      </rPr>
      <t xml:space="preserve">
(Delivered + Cancelled/ Rejected)</t>
    </r>
  </si>
  <si>
    <r>
      <rPr>
        <b/>
        <sz val="13"/>
        <color theme="1"/>
        <rFont val="Proxima Nova"/>
      </rPr>
      <t>Net Pay-out</t>
    </r>
    <r>
      <rPr>
        <sz val="13"/>
        <color theme="1"/>
        <rFont val="Proxima Nova"/>
      </rPr>
      <t xml:space="preserve">
(Settled + Unsettled)</t>
    </r>
  </si>
  <si>
    <t>Bank UTR</t>
  </si>
  <si>
    <t>Report Detailed Breakdown</t>
  </si>
  <si>
    <r>
      <rPr>
        <sz val="14"/>
        <color rgb="FF666666"/>
        <rFont val="Proxima Nova"/>
      </rPr>
      <t xml:space="preserve">This report comprises the following </t>
    </r>
    <r>
      <rPr>
        <b/>
        <sz val="14"/>
        <color rgb="FF666666"/>
        <rFont val="Proxima Nova"/>
      </rPr>
      <t>detailed tabs</t>
    </r>
    <r>
      <rPr>
        <sz val="14"/>
        <color rgb="FF666666"/>
        <rFont val="Proxima Nova"/>
      </rPr>
      <t xml:space="preserve"> regarding your pay-out: </t>
    </r>
  </si>
  <si>
    <t>Tab Name</t>
  </si>
  <si>
    <t>Description</t>
  </si>
  <si>
    <t>Pay-out Breakup</t>
  </si>
  <si>
    <t>Breakup of your total earnings during this report period</t>
  </si>
  <si>
    <t>Distance Based Summary</t>
  </si>
  <si>
    <t>Summary of order level deductions by distance buckets</t>
  </si>
  <si>
    <t>Order Level</t>
  </si>
  <si>
    <t xml:space="preserve">Detailed view of your order level earnings, deductions, pay-outs and UTRs for settled orders. </t>
  </si>
  <si>
    <t>Addition/Deductions Details</t>
  </si>
  <si>
    <t xml:space="preserve">Summarized view on :
1. Res id level additions like 194 H, etc
2. Res id level deductions like pay later, etc </t>
  </si>
  <si>
    <t>Discounts Summary</t>
  </si>
  <si>
    <t>View of the different discounts running on your restaurant during this report period</t>
  </si>
  <si>
    <t>Glossary</t>
  </si>
  <si>
    <t>Descriptions of the terms used in the Order Level tab</t>
  </si>
  <si>
    <t>Payout Breakup</t>
  </si>
  <si>
    <t>S.No.</t>
  </si>
  <si>
    <t>Particular</t>
  </si>
  <si>
    <t>Delivered Orders</t>
  </si>
  <si>
    <t>Cancelled/ Rejected Orders</t>
  </si>
  <si>
    <t>Total</t>
  </si>
  <si>
    <t>Number of Orders</t>
  </si>
  <si>
    <t>A</t>
  </si>
  <si>
    <r>
      <rPr>
        <b/>
        <sz val="15"/>
        <color rgb="FF000000"/>
        <rFont val="Proxima Nova"/>
      </rPr>
      <t xml:space="preserve">Net order value 
</t>
    </r>
    <r>
      <rPr>
        <sz val="10"/>
        <color rgb="FF666666"/>
        <rFont val="Arial"/>
      </rPr>
      <t>( 1 + 2 + 3 - 4 - 5 + 6 - 7 + 8 )</t>
    </r>
  </si>
  <si>
    <t>1</t>
  </si>
  <si>
    <t>2</t>
  </si>
  <si>
    <t>3</t>
  </si>
  <si>
    <t>4</t>
  </si>
  <si>
    <t>5</t>
  </si>
  <si>
    <t xml:space="preserve"> </t>
  </si>
  <si>
    <t>6</t>
  </si>
  <si>
    <t>7</t>
  </si>
  <si>
    <t>8</t>
  </si>
  <si>
    <t>9</t>
  </si>
  <si>
    <r>
      <rPr>
        <b/>
        <sz val="12"/>
        <color rgb="FF000000"/>
        <rFont val="Proxima Nova"/>
      </rPr>
      <t xml:space="preserve">Commissionable value (excludes customer GST)
</t>
    </r>
    <r>
      <rPr>
        <b/>
        <sz val="12"/>
        <color rgb="FF666666"/>
        <rFont val="Arial"/>
      </rPr>
      <t>[(A) - (8) + (7)  - (6) - (3)]</t>
    </r>
  </si>
  <si>
    <t>B</t>
  </si>
  <si>
    <r>
      <rPr>
        <b/>
        <sz val="15"/>
        <color rgb="FF000000"/>
        <rFont val="Proxima Nova"/>
      </rPr>
      <t xml:space="preserve">Service fees &amp; payment mechanism fees
</t>
    </r>
    <r>
      <rPr>
        <sz val="10"/>
        <color rgb="FF666666"/>
        <rFont val="Arial"/>
      </rPr>
      <t>( 10 + 11 )</t>
    </r>
  </si>
  <si>
    <t>10</t>
  </si>
  <si>
    <t>11</t>
  </si>
  <si>
    <t>C</t>
  </si>
  <si>
    <r>
      <rPr>
        <b/>
        <sz val="15"/>
        <color rgb="FF000000"/>
        <rFont val="Proxima Nova"/>
      </rPr>
      <t xml:space="preserve">Government charges
</t>
    </r>
    <r>
      <rPr>
        <sz val="10"/>
        <color rgb="FF666666"/>
        <rFont val="Arial"/>
      </rPr>
      <t>( 12 + 13 + 14 + 15 )</t>
    </r>
  </si>
  <si>
    <t>12</t>
  </si>
  <si>
    <t>13</t>
  </si>
  <si>
    <t>14</t>
  </si>
  <si>
    <t>15</t>
  </si>
  <si>
    <t>D</t>
  </si>
  <si>
    <r>
      <rPr>
        <b/>
        <sz val="15"/>
        <color rgb="FF000000"/>
        <rFont val="Proxima Nova"/>
      </rPr>
      <t xml:space="preserve">Other order level deductions
</t>
    </r>
    <r>
      <rPr>
        <sz val="10"/>
        <color rgb="FF666666"/>
        <rFont val="Arial"/>
      </rPr>
      <t>( 16 + 17 + 18 )</t>
    </r>
  </si>
  <si>
    <t>16</t>
  </si>
  <si>
    <t>Other Order level deductions</t>
  </si>
  <si>
    <t>Rejection Penalty</t>
  </si>
  <si>
    <t>Brand loyalty points redemption</t>
  </si>
  <si>
    <t>Express Order Fee</t>
  </si>
  <si>
    <t>17</t>
  </si>
  <si>
    <t>18</t>
  </si>
  <si>
    <r>
      <rPr>
        <sz val="12"/>
        <color rgb="FF000000"/>
        <rFont val="&quot;Proxima Nova&quot;, Arial"/>
      </rPr>
      <t xml:space="preserve">Adjustments from previous weeks
</t>
    </r>
    <r>
      <rPr>
        <i/>
        <sz val="9"/>
        <color rgb="FF666666"/>
        <rFont val="&quot;Proxima Nova&quot;, Arial"/>
      </rPr>
      <t>(Refer to Annexure : "Addition/ Deduction Details")</t>
    </r>
  </si>
  <si>
    <t>-</t>
  </si>
  <si>
    <t>E</t>
  </si>
  <si>
    <r>
      <rPr>
        <b/>
        <sz val="15"/>
        <color theme="1"/>
        <rFont val="Proxima Nova"/>
      </rPr>
      <t>Investment in growth services</t>
    </r>
    <r>
      <rPr>
        <sz val="10"/>
        <color theme="1"/>
        <rFont val="Proxima Nova"/>
      </rPr>
      <t xml:space="preserve">
</t>
    </r>
    <r>
      <rPr>
        <sz val="10"/>
        <color rgb="FF666666"/>
        <rFont val="Proxima Nova"/>
      </rPr>
      <t>( 19 + 20 + 21 )</t>
    </r>
  </si>
  <si>
    <t>19</t>
  </si>
  <si>
    <r>
      <rPr>
        <sz val="12"/>
        <color rgb="FF000000"/>
        <rFont val="Arial"/>
      </rPr>
      <t xml:space="preserve">Total Ads (inc. 18% GST)
</t>
    </r>
    <r>
      <rPr>
        <i/>
        <sz val="9"/>
        <color rgb="FF666666"/>
        <rFont val="Arial"/>
      </rPr>
      <t>(Refer to Annexure : "Addition/ Deduction Details")</t>
    </r>
  </si>
  <si>
    <t>20</t>
  </si>
  <si>
    <t>Total Dining Ads (inc. 18% GST)</t>
  </si>
  <si>
    <t>21</t>
  </si>
  <si>
    <r>
      <rPr>
        <sz val="12"/>
        <color rgb="FF000000"/>
        <rFont val="&quot;Proxima Nova&quot;, Arial"/>
      </rPr>
      <t xml:space="preserve">Miscellaneous sevices
</t>
    </r>
    <r>
      <rPr>
        <sz val="9"/>
        <color rgb="FF666666"/>
        <rFont val="&quot;Proxima Nova&quot;, Arial"/>
      </rPr>
      <t>(Refer to Annexure : "Addition/ Deduction Details")</t>
    </r>
  </si>
  <si>
    <t>F</t>
  </si>
  <si>
    <t>Investment in Hyperpure</t>
  </si>
  <si>
    <t>G</t>
  </si>
  <si>
    <t>Other Deductions</t>
  </si>
  <si>
    <t>H</t>
  </si>
  <si>
    <r>
      <rPr>
        <b/>
        <sz val="15"/>
        <color rgb="FF000000"/>
        <rFont val="Proxima Nova"/>
      </rPr>
      <t xml:space="preserve">Total Additions
</t>
    </r>
    <r>
      <rPr>
        <sz val="10"/>
        <color rgb="FF666666"/>
        <rFont val="Arial"/>
      </rPr>
      <t>( 24 + 25 + 26 + 27 )</t>
    </r>
  </si>
  <si>
    <t>24</t>
  </si>
  <si>
    <t>Cancellation refund for cancelled Orders</t>
  </si>
  <si>
    <t>25</t>
  </si>
  <si>
    <t>Tip for Kitchen Staff for delivered Orders</t>
  </si>
  <si>
    <t>26</t>
  </si>
  <si>
    <r>
      <rPr>
        <sz val="12"/>
        <color rgb="FF000000"/>
        <rFont val="&quot;Proxima Nova&quot;, Arial"/>
      </rPr>
      <t xml:space="preserve">TDS 194 H and other Res id level Additions
</t>
    </r>
    <r>
      <rPr>
        <i/>
        <sz val="9"/>
        <color rgb="FF666666"/>
        <rFont val="&quot;Proxima Nova&quot;, Arial"/>
      </rPr>
      <t>(Refer to Annexure : "Addition/ Deduction Details")</t>
    </r>
  </si>
  <si>
    <t>27</t>
  </si>
  <si>
    <t xml:space="preserve">Restaurant-level service fees rebate </t>
  </si>
  <si>
    <t>I</t>
  </si>
  <si>
    <r>
      <rPr>
        <b/>
        <sz val="15"/>
        <color rgb="FF000000"/>
        <rFont val="Proxima Nova"/>
      </rPr>
      <t xml:space="preserve">Net Payout 
</t>
    </r>
    <r>
      <rPr>
        <sz val="10"/>
        <color rgb="FF666666"/>
        <rFont val="Arial"/>
      </rPr>
      <t>( A - B - C - D - E  - F - G + H )</t>
    </r>
  </si>
  <si>
    <t>Settlement breakdown</t>
  </si>
  <si>
    <t>Amount Settled</t>
  </si>
  <si>
    <t>Pending Amount (Will be credited on next pay-out day)</t>
  </si>
  <si>
    <t>Order ID</t>
  </si>
  <si>
    <t>Order Date</t>
  </si>
  <si>
    <t>Week No.</t>
  </si>
  <si>
    <t>Res. name</t>
  </si>
  <si>
    <t>Res. ID</t>
  </si>
  <si>
    <t>Discount Construct</t>
  </si>
  <si>
    <t>Mode of payment</t>
  </si>
  <si>
    <t>Order status (Delivered/ Cancelled/ Rejected)</t>
  </si>
  <si>
    <t>Cancellation policy
(% Amount refunded back to restaurant partner)</t>
  </si>
  <si>
    <t>Cancellation/ Rejection Reason</t>
  </si>
  <si>
    <t>Cancelled/ Rejected State
(Order status at the time it was cancelled/ rejected)</t>
  </si>
  <si>
    <t>Order type</t>
  </si>
  <si>
    <t>Delivery State code</t>
  </si>
  <si>
    <t>Subtotal (items total)</t>
  </si>
  <si>
    <t>Packaging charge</t>
  </si>
  <si>
    <t>Delivery charge for restaurants on self logistics</t>
  </si>
  <si>
    <t>Restaurant discount [Promo]</t>
  </si>
  <si>
    <t>Restaurant Discount [BOGO, Freebies, Gold, Brand pack &amp; others]</t>
  </si>
  <si>
    <t xml:space="preserve">Brand pack subscription fee </t>
  </si>
  <si>
    <t xml:space="preserve">Delivery charge discount / Relisting discount </t>
  </si>
  <si>
    <t>Total GST collected from customers</t>
  </si>
  <si>
    <r>
      <rPr>
        <b/>
        <sz val="15"/>
        <color theme="1"/>
        <rFont val="Proxima Nova"/>
      </rPr>
      <t xml:space="preserve">Net order value
</t>
    </r>
    <r>
      <rPr>
        <sz val="12"/>
        <color theme="1"/>
        <rFont val="Proxima Nova"/>
      </rPr>
      <t>[(1) + (2) + (3) - (4) - (5) + (6) - (7) + (8)]</t>
    </r>
  </si>
  <si>
    <r>
      <rPr>
        <b/>
        <sz val="12"/>
        <color theme="1"/>
        <rFont val="Proxima Nova"/>
      </rPr>
      <t xml:space="preserve">Commissionable value (excludes customer GST)
</t>
    </r>
    <r>
      <rPr>
        <b/>
        <sz val="12"/>
        <color rgb="FF666666"/>
        <rFont val="Proxima Nova"/>
      </rPr>
      <t>[(A) + (7) - (8) - (6) - (3)]</t>
    </r>
  </si>
  <si>
    <t>Service fees %</t>
  </si>
  <si>
    <r>
      <rPr>
        <b/>
        <sz val="12"/>
        <color theme="1"/>
        <rFont val="Proxima Nova"/>
      </rPr>
      <t xml:space="preserve">Service fee
</t>
    </r>
    <r>
      <rPr>
        <b/>
        <sz val="12"/>
        <color rgb="FF666666"/>
        <rFont val="Proxima Nova"/>
      </rPr>
      <t>[ (9) * (10) ]</t>
    </r>
  </si>
  <si>
    <t>Payment mechanism fee</t>
  </si>
  <si>
    <r>
      <rPr>
        <b/>
        <sz val="15"/>
        <color theme="1"/>
        <rFont val="Proxima Nova"/>
      </rPr>
      <t xml:space="preserve">Service fee &amp; payment mechanism fees
</t>
    </r>
    <r>
      <rPr>
        <sz val="12"/>
        <color theme="1"/>
        <rFont val="Proxima Nova"/>
      </rPr>
      <t>[(11) + (12)]</t>
    </r>
  </si>
  <si>
    <r>
      <rPr>
        <b/>
        <sz val="12"/>
        <color theme="1"/>
        <rFont val="Proxima Nova"/>
      </rPr>
      <t xml:space="preserve">Taxes on service &amp; payment mechanism fees
</t>
    </r>
    <r>
      <rPr>
        <b/>
        <sz val="12"/>
        <color rgb="FF666666"/>
        <rFont val="Proxima Nova"/>
      </rPr>
      <t>(B) * 18%</t>
    </r>
  </si>
  <si>
    <t>Applicable amount for TCS</t>
  </si>
  <si>
    <t>Applicable amount for 9(5)</t>
  </si>
  <si>
    <t>Tax collected at source</t>
  </si>
  <si>
    <t>TCS IGST amount</t>
  </si>
  <si>
    <t>TDS 194O amount</t>
  </si>
  <si>
    <t>GST paid by Zomato on behalf of restaurant - under section 9(5)</t>
  </si>
  <si>
    <t>GST to be paid by Restaurant partner to Govt.</t>
  </si>
  <si>
    <r>
      <rPr>
        <b/>
        <sz val="15"/>
        <color theme="1"/>
        <rFont val="Proxima Nova"/>
      </rPr>
      <t xml:space="preserve">Government charges
</t>
    </r>
    <r>
      <rPr>
        <sz val="12"/>
        <color theme="1"/>
        <rFont val="Proxima Nova"/>
      </rPr>
      <t>[(13) + (16) + (17) + (18) + (19)]</t>
    </r>
  </si>
  <si>
    <t>Customer Compensation/Recoupment</t>
  </si>
  <si>
    <t>Delivery Charges Recovery</t>
  </si>
  <si>
    <t>Amount received in cash (on self delivery orders)</t>
  </si>
  <si>
    <t>Credit note/(Debit Note) adjustment</t>
  </si>
  <si>
    <t>Promo recovery adjustment</t>
  </si>
  <si>
    <t>Extra Inventory Ads and Misc. (order level deduction)</t>
  </si>
  <si>
    <r>
      <rPr>
        <b/>
        <sz val="15"/>
        <color theme="1"/>
        <rFont val="Proxima Nova"/>
      </rPr>
      <t xml:space="preserve">Other order-level deductions
</t>
    </r>
    <r>
      <rPr>
        <sz val="12"/>
        <color theme="1"/>
        <rFont val="Proxima Nova"/>
      </rPr>
      <t>[(21) + (22) + (23) + (24) + (25) + (26) + (27) + (28)]</t>
    </r>
  </si>
  <si>
    <t>Net Deductions
(B) + (C) + (D)</t>
  </si>
  <si>
    <r>
      <rPr>
        <b/>
        <sz val="15"/>
        <color theme="1"/>
        <rFont val="Proxima Nova"/>
      </rPr>
      <t xml:space="preserve">Net Additions 
</t>
    </r>
    <r>
      <rPr>
        <sz val="12"/>
        <color theme="1"/>
        <rFont val="Proxima Nova"/>
      </rPr>
      <t>(cancellation refund for cancelled orders/Tip for Kitchen Staff for delivered orders)</t>
    </r>
  </si>
  <si>
    <t>Order level Payout
(A) - (E) + (F)</t>
  </si>
  <si>
    <t>Settlement status</t>
  </si>
  <si>
    <t>Settlement date</t>
  </si>
  <si>
    <t>Unsettled Amount</t>
  </si>
  <si>
    <t>Customer ID</t>
  </si>
  <si>
    <t>#REF!</t>
  </si>
  <si>
    <t>Addition/ Deduction Details (non-order level additions &amp; deductions and adjustments from previous weeks)</t>
  </si>
  <si>
    <t>Offers and Discounts Summary</t>
  </si>
  <si>
    <t>Orders</t>
  </si>
  <si>
    <t>Discount given</t>
  </si>
  <si>
    <t>Discount given per order</t>
  </si>
  <si>
    <t>Effective Discount %</t>
  </si>
  <si>
    <t>S.No</t>
  </si>
  <si>
    <t>Particulars</t>
  </si>
  <si>
    <t>Definition</t>
  </si>
  <si>
    <t>Gross total of dishes/items ordered by the customer before discount</t>
  </si>
  <si>
    <t>Cost set by the restaurant partner for the packaging material of whatever nature, including containers and coverings</t>
  </si>
  <si>
    <t>Cost charged by restaurant partner when the delivery of order is undertaken by the restaurant partner themselves</t>
  </si>
  <si>
    <t>Restaurant Discount [Promo]</t>
  </si>
  <si>
    <t>Offer or Promo discounts borne by the restaurant partner on the order</t>
  </si>
  <si>
    <t>Restaurant discount [Flat offs, Freebies, Gold &amp; others]</t>
  </si>
  <si>
    <t>PRO/SALT/ Freebie or any other discounts borne by the restaurant partner on the order</t>
  </si>
  <si>
    <t xml:space="preserve">Revenue generated for the restaurant through brand pack subscriptions  </t>
  </si>
  <si>
    <t>Delivery charge discount</t>
  </si>
  <si>
    <t>Delivery charge discount borne by the resturant partner on the order</t>
  </si>
  <si>
    <t>Total tax amount paid by the customer on the order. It include GST on Food items, Packaging charges and delivery charges (for orders delivered by the restaurant partners themselves) after adjusting restaurant partner discount</t>
  </si>
  <si>
    <t>Net order value</t>
  </si>
  <si>
    <t>This means the subtotal value received, including the packaging charge, Delivery Charge (for orders delivered by the restaurant partners themselves) and less restaurant partner discounts</t>
  </si>
  <si>
    <t>Commissionable value (excluding customer GST)</t>
  </si>
  <si>
    <t>It is amount at which Zomato commission will be applied i.e. the total of Gross sales less delivery Charge (for orders delivered by restaurant partners themselves) and taxes</t>
  </si>
  <si>
    <t>Service fee %</t>
  </si>
  <si>
    <t>This means the amount payable by the Restaurant Partner to Zomato, being a % of commissionable value</t>
  </si>
  <si>
    <t>Service fee</t>
  </si>
  <si>
    <t>Derived value after multiplying commissionable value with base service fee %, However in case of flat fees contract like meal for one, total of individual items fixed fees will be the commission value.</t>
  </si>
  <si>
    <t>Payment Mechanism Fee</t>
  </si>
  <si>
    <t>Payment Mechanism Fee means the amount payable by the Restaurant Partner to Zomato, being a % of Order Value including taxes less any charge not levied by Restaurant but collected by Zomato, as more specifically set out in the Form</t>
  </si>
  <si>
    <t>Service fee &amp; payment mechanism fees</t>
  </si>
  <si>
    <t xml:space="preserve">This is the sum of the base service fee, fulfilment fee, and payment mechanism fee, less </t>
  </si>
  <si>
    <t>It is gross sales amount (less applicable taxes) on which Tax Collected at Source under CGST Act 2017. It is applicable on items other than supply of Restaurant Service.</t>
  </si>
  <si>
    <t>It is gross sales amount (less applicable taxes) of items under Restaurant Service category as per Section 9(5) of Central Goods and Services Tax Act, 2017, with effect from 1 January 2022</t>
  </si>
  <si>
    <t xml:space="preserve">Taxes on service &amp; payment mechanism fees </t>
  </si>
  <si>
    <t>Tax charged on services provided by Zomato (such as commission, convenience fee etc)</t>
  </si>
  <si>
    <t>Tax collected at source (TCS)</t>
  </si>
  <si>
    <t>TCS is amount collected at source by Zomato on items other than Restaurant Services in terms of provisions of Section 52 of the CGST Act, 2017. The said amount will be deposited to Government upon filing of TCS Return {GSTR-8} at GSTIN level.</t>
  </si>
  <si>
    <t>If TCS mentioned in section R is deducted on interstate supply, same will be updated here</t>
  </si>
  <si>
    <t>TDS 194O</t>
  </si>
  <si>
    <t>Zomato is required to deduct taxes at source from the amount for all Orders that are settled via Zomato’s Platform. TDS u/s 194-O shall be applied on Gross Sales (less applicable taxes charged by the Restaurant) as per the applicable tax law on the rate as applicable and amended from time to time</t>
  </si>
  <si>
    <t>Tax amount retained by Zomato for restaurant services as per Section 9(5) of Central Goods and Services Tax Act 2017, with effect from 1 January 2022. Zomato deposits this tax amount with authorities on behalf of the restaurant</t>
  </si>
  <si>
    <t>This amount is residual value of total GST collected from user and deposited by Zomato under section 9(5) of GST Act. This amount need to deposited to Govt by Restaurant partners</t>
  </si>
  <si>
    <t>Government charges</t>
  </si>
  <si>
    <t>Sum of all the taxes charged on the order as per the government guidelines</t>
  </si>
  <si>
    <t>The amount recovered/recouped against customer refunds made by Zomato, from the restaurant partners</t>
  </si>
  <si>
    <t>Delivery charges recovery</t>
  </si>
  <si>
    <t>Amount of Discount offers by merchant on the delivery fee charged by the Delivery Partner, where the Restaurant Partner is availing Logistics Services from Zomato</t>
  </si>
  <si>
    <t>Amount received by Restaurant partner from customer in cash on delivery order where Restaurant Partner provide logistics services</t>
  </si>
  <si>
    <t>CN/DN raised to adjust commission/convenience fee or other revenue</t>
  </si>
  <si>
    <t>Manual promo recovery to be done from restaurant partner where automated recovery were not made</t>
  </si>
  <si>
    <t>Extra Inventory Ads (Order Level Deduction)</t>
  </si>
  <si>
    <t>The amount deducted against Extra inventory ads campaign</t>
  </si>
  <si>
    <t xml:space="preserve">Other order-level deductions
</t>
  </si>
  <si>
    <t>Sum of all deductions at an order level other than the service fee, payment mechanism fee, and government charges</t>
  </si>
  <si>
    <t>Net Deductions</t>
  </si>
  <si>
    <t>Sum of all the recoveries which needs to be deducted from Restaurant Partner's payout</t>
  </si>
  <si>
    <t>Net Additions 
(cancellation refund)</t>
  </si>
  <si>
    <t>Amount reimbursed against the rejected orders (Zomato rejections) under the compensation policy</t>
  </si>
  <si>
    <t xml:space="preserve">Order level Payout
</t>
  </si>
  <si>
    <t>Net transferable amount after all deductions</t>
  </si>
  <si>
    <t>The payment status of an order id i.e. "settled" means the payment for an order id is done while "pending" status means yet to be transferred.</t>
  </si>
  <si>
    <t>The date on which an order amount was transferred to partner's bank account</t>
  </si>
  <si>
    <t>The transaction refernce number against which payments were transferred to the restaurant partner</t>
  </si>
  <si>
    <t>The part of the order level payout which is pending to be settled</t>
  </si>
  <si>
    <t>7746177218</t>
  </si>
  <si>
    <t>2026-02-01 10:08:07</t>
  </si>
  <si>
    <t>Purnabramha Aurangabad</t>
  </si>
  <si>
    <t>20523448</t>
  </si>
  <si>
    <t>NA</t>
  </si>
  <si>
    <t>ONLINE</t>
  </si>
  <si>
    <t>DELIVERED</t>
  </si>
  <si>
    <t>O2</t>
  </si>
  <si>
    <t>settled</t>
  </si>
  <si>
    <t>2026-02-04 05:30:00</t>
  </si>
  <si>
    <t>CITIN26617354846</t>
  </si>
  <si>
    <t>2e2998d6af2106e0dcb612346439c26ca9640aece1042d94b0b7f8461bed0954</t>
  </si>
  <si>
    <t>7746964905</t>
  </si>
  <si>
    <t>2026-02-01 12:23:49</t>
  </si>
  <si>
    <t>7f23054f6f960a1cacac0abeb268976b02fe221a3c2b22f2af0894e4814fefb8</t>
  </si>
  <si>
    <t>7750721789</t>
  </si>
  <si>
    <t>2026-02-01 13:50:04</t>
  </si>
  <si>
    <t>7cef5ae91ff6ff5a607f6c6791c4f60e2d9c1a376881ae284486640e196d54fc</t>
  </si>
  <si>
    <t>7749406453</t>
  </si>
  <si>
    <t>2026-02-01 14:49:12</t>
  </si>
  <si>
    <t>efba94c471f35f44cdd7d4d75c2336bc09c55f33b035e010451dae036eea5d7a</t>
  </si>
  <si>
    <t>7751883149</t>
  </si>
  <si>
    <t>2026-02-01 15:23:00</t>
  </si>
  <si>
    <t>87abba2bcbbdf63e814da6ffd7e3acd2936063b0323f12df83cac894193feb93</t>
  </si>
  <si>
    <t>7745811138</t>
  </si>
  <si>
    <t>2026-02-01 19:01:52</t>
  </si>
  <si>
    <t>5ecbf54f2e9ee971303406209cc18bfc23fb2c12425f0de7f566f4853b81cbe3</t>
  </si>
  <si>
    <t>7750785073</t>
  </si>
  <si>
    <t>2026-02-01 19:58:41</t>
  </si>
  <si>
    <t>1ccac4a0179fccad94ee71572e0ca5386af085cd6d181fde1276e99ed3078bb7</t>
  </si>
  <si>
    <t>7748138786</t>
  </si>
  <si>
    <t>2026-02-02 11:31:31</t>
  </si>
  <si>
    <t>2026-02-11 05:30:00</t>
  </si>
  <si>
    <t>CITIN26620176758</t>
  </si>
  <si>
    <t>faf402b0c7a4a49e9c2d19eb9d839996329a1410872cb2746b69992b7014faab</t>
  </si>
  <si>
    <t>7749474492</t>
  </si>
  <si>
    <t>2026-02-02 19:07:56</t>
  </si>
  <si>
    <t>7753158349</t>
  </si>
  <si>
    <t>2026-02-02 19:39:55</t>
  </si>
  <si>
    <t>8d0d9cb9c9ae68dc70da1549bb32f27488cd45522bb084c83af1c0e10268640a</t>
  </si>
  <si>
    <t>7756381152</t>
  </si>
  <si>
    <t>2026-02-02 19:44:56</t>
  </si>
  <si>
    <t>036a32b4f0c0ed1110d5ed7a707db418fb8ca62a5fb5111ed22ee69ecd3cbd8f</t>
  </si>
  <si>
    <t>7756402099</t>
  </si>
  <si>
    <t>2026-02-03 11:56:28</t>
  </si>
  <si>
    <t>68beb0d34d36a356fd4c9da9131a59f5d7bb88698367f380da2c1fab070ea262</t>
  </si>
  <si>
    <t>7756347037</t>
  </si>
  <si>
    <t>2026-02-03 13:24:54</t>
  </si>
  <si>
    <t>c8939ccd5db5944087b593a9e75a87e99986775ab9a0237fd986dcaea8a0cfb3</t>
  </si>
  <si>
    <t>7758269581</t>
  </si>
  <si>
    <t>2026-02-03 14:31:19</t>
  </si>
  <si>
    <t>d1729dfa5a60065e91ce40de1526dc78b7bbd5b4764c3d793f3f0034603a6063</t>
  </si>
  <si>
    <t>7758842074</t>
  </si>
  <si>
    <t>2026-02-03 18:51:20</t>
  </si>
  <si>
    <t>068b45ab51eb03b48dc4df0debeabadd9cd3705351aa70a26e713fbda144a656</t>
  </si>
  <si>
    <t>7758732945</t>
  </si>
  <si>
    <t>2026-02-03 19:05:56</t>
  </si>
  <si>
    <t>4c9540acaa9ffaefda91167e2403220c9d0a54567cdb3fa0ef1da7e9be099e85</t>
  </si>
  <si>
    <t>7747385188</t>
  </si>
  <si>
    <t>2026-02-03 20:16:08</t>
  </si>
  <si>
    <t>a6d1a2eeafec57691834c2169e41437e9902d96d0749ee17cc5c98767b0b7d73</t>
  </si>
  <si>
    <t>7756669297</t>
  </si>
  <si>
    <t>2026-02-03 20:39:32</t>
  </si>
  <si>
    <t>d16ed9559e85f15718ba392b4254c0b6da9f1b2332835fff84588f1033297818</t>
  </si>
  <si>
    <t>7760351214</t>
  </si>
  <si>
    <t>2026-02-04 10:41:26</t>
  </si>
  <si>
    <t>4b0a6972ee4730436eea259e15200c4b25f15e0894eea19be47e16bc31c870f6</t>
  </si>
  <si>
    <t>7760672557</t>
  </si>
  <si>
    <t>2026-02-04 10:57:18</t>
  </si>
  <si>
    <t>6f39ee54c05f9acdab8e96c38e082f8ee534731ff34b3ecf6df183f483b8166b</t>
  </si>
  <si>
    <t>7759521845</t>
  </si>
  <si>
    <t>2026-02-04 14:26:01</t>
  </si>
  <si>
    <t>6e4fb28e6a935bc39115b54b2ee9f64d4eb7cc1e29626af32e25e721d841def1</t>
  </si>
  <si>
    <t>22</t>
  </si>
  <si>
    <t>7762797003</t>
  </si>
  <si>
    <t>2026-02-04 20:03:12</t>
  </si>
  <si>
    <t>ad336e6436178d3f560f4c7c98303c224aa706ba4dcd3f336fb85ead7fcaed45</t>
  </si>
  <si>
    <t>23</t>
  </si>
  <si>
    <t>7760439985</t>
  </si>
  <si>
    <t>2026-02-04 21:28:49</t>
  </si>
  <si>
    <t>64140e0249286ee3cd9e00b67f9e721998828588d30adacfe57625cff12fa396</t>
  </si>
  <si>
    <t>7760465455</t>
  </si>
  <si>
    <t>2026-02-05 12:33:35</t>
  </si>
  <si>
    <t>bde1669665c29b21c67b6815619126b23d74a4b4b8e509be054b9c973d5003e7</t>
  </si>
  <si>
    <t>7763825271</t>
  </si>
  <si>
    <t>2026-02-05 13:02:10</t>
  </si>
  <si>
    <t>a3b838b0f09d9cae70a8ac835f669a9f86b850661f9723fcea0b8a332162ef6c</t>
  </si>
  <si>
    <t>7759937731</t>
  </si>
  <si>
    <t>2026-02-05 15:19:06</t>
  </si>
  <si>
    <t>e615ce0c56d6166087f49a596d281ebf2be28e3cb6d5b6de701945327b9e72ea</t>
  </si>
  <si>
    <t>7763249505</t>
  </si>
  <si>
    <t>2026-02-05 18:49:51</t>
  </si>
  <si>
    <t>561c74e9036025fd8190b66ae4f06324ad3753bacf227899e36aac17983d494a</t>
  </si>
  <si>
    <t>28</t>
  </si>
  <si>
    <t>7760785005</t>
  </si>
  <si>
    <t>2026-02-05 19:29:33</t>
  </si>
  <si>
    <t>29</t>
  </si>
  <si>
    <t>7765140563</t>
  </si>
  <si>
    <t>2026-02-05 19:39:47</t>
  </si>
  <si>
    <t>934a68eaab12d08157c22041ec32ff66a2c8888cb01445faca2964fdbed35596</t>
  </si>
  <si>
    <t>30</t>
  </si>
  <si>
    <t>7762874174</t>
  </si>
  <si>
    <t>2026-02-05 20:10:19</t>
  </si>
  <si>
    <t>31</t>
  </si>
  <si>
    <t>7763869655</t>
  </si>
  <si>
    <t>2026-02-05 20:19:32</t>
  </si>
  <si>
    <t>74fb4e9c9cbd8d04324f9cb163473c21aded895c3c015e9c8855bb20be9d959f</t>
  </si>
  <si>
    <t>32</t>
  </si>
  <si>
    <t>7753799960</t>
  </si>
  <si>
    <t>2026-02-05 21:16:04</t>
  </si>
  <si>
    <t>0b648ad17f217da51270cb0cb29cde09ef73d74a4f504b0c0fae994b2356da08</t>
  </si>
  <si>
    <t>33</t>
  </si>
  <si>
    <t>7753947668</t>
  </si>
  <si>
    <t>2026-02-05 22:13:01</t>
  </si>
  <si>
    <t>4e3af543958b72474a2568ad48d6363b71ff8f3c48243c6aaad0d9e7ab97d46d</t>
  </si>
  <si>
    <t>34</t>
  </si>
  <si>
    <t>7751224907</t>
  </si>
  <si>
    <t>2026-02-06 13:28:40</t>
  </si>
  <si>
    <t>57d9cdf1e4ff1f23c2eeb5d0f7eae3f4113bf96b2b59958bc75d2c2d9a889837</t>
  </si>
  <si>
    <t>35</t>
  </si>
  <si>
    <t>7767470538</t>
  </si>
  <si>
    <t>2026-02-06 17:52:25</t>
  </si>
  <si>
    <t>0b84865f257ed37328ad8435e1a1e7b8d48872a568d1925a240570d486c89a01</t>
  </si>
  <si>
    <t>36</t>
  </si>
  <si>
    <t>7767795507</t>
  </si>
  <si>
    <t>2026-02-06 19:37:34</t>
  </si>
  <si>
    <t>9f7f3af814223b75154a29fcdc9de426aa4c4146c432af8ddca07a980512ca40</t>
  </si>
  <si>
    <t>37</t>
  </si>
  <si>
    <t>7767895550</t>
  </si>
  <si>
    <t>2026-02-07 12:10:59</t>
  </si>
  <si>
    <t>5fbb14b145e4311420d974acb1cc400c9146ff3f72d8dedbfd053e483d796dec</t>
  </si>
  <si>
    <t>38</t>
  </si>
  <si>
    <t>7762901053</t>
  </si>
  <si>
    <t>2026-02-07 12:15:28</t>
  </si>
  <si>
    <t>0c21feb023957425a4c6a68360ba5cc4d4025d4229ef362fdcf6bd5f7d2a5cef</t>
  </si>
  <si>
    <t>39</t>
  </si>
  <si>
    <t>7766241636</t>
  </si>
  <si>
    <t>2026-02-07 16:12:49</t>
  </si>
  <si>
    <t>99931e1250e2d88d8287b554160c6bc05ed7efaed02ff85349897506c98a97a9</t>
  </si>
  <si>
    <t>40</t>
  </si>
  <si>
    <t>7772760472</t>
  </si>
  <si>
    <t>2026-02-07 18:44:40</t>
  </si>
  <si>
    <t>b03362e256e3ad5bfe629a6391652b6078dd4b73d7be11d5cfa3bd5be7271713</t>
  </si>
  <si>
    <t>41</t>
  </si>
  <si>
    <t>7762231931</t>
  </si>
  <si>
    <t>2026-02-07 19:53:03</t>
  </si>
  <si>
    <t>42</t>
  </si>
  <si>
    <t>7769066191</t>
  </si>
  <si>
    <t>2026-02-07 21:06:26</t>
  </si>
  <si>
    <t>bef3bf5091c4979dfb60fb4dc64e49a9c69fc1b7b4c26869f0c55eabf18a260c</t>
  </si>
  <si>
    <t>43</t>
  </si>
  <si>
    <t>7775590837</t>
  </si>
  <si>
    <t>2026-02-08 12:45:47</t>
  </si>
  <si>
    <t>44</t>
  </si>
  <si>
    <t>7773108698</t>
  </si>
  <si>
    <t>2026-02-08 16:35:37</t>
  </si>
  <si>
    <t>0a3ed0d8caa96f68ee2e64cccd01dd144fd703159b85a060246b6c0e7206c3af</t>
  </si>
  <si>
    <t>45</t>
  </si>
  <si>
    <t>7777457348</t>
  </si>
  <si>
    <t>2026-02-08 19:07:42</t>
  </si>
  <si>
    <t>7381ee9a8f47853a236ab07a7cf968fc03750788dce5825e1d56593d170c175f</t>
  </si>
  <si>
    <t>46</t>
  </si>
  <si>
    <t>7774284643</t>
  </si>
  <si>
    <t>2026-02-09 19:41:26</t>
  </si>
  <si>
    <t>2026-02-18 05:30:00</t>
  </si>
  <si>
    <t>CITIN26622782803</t>
  </si>
  <si>
    <t>47</t>
  </si>
  <si>
    <t>7778975104</t>
  </si>
  <si>
    <t>2026-02-09 19:49:23</t>
  </si>
  <si>
    <t>056f99a2e07f68639f5176f9169591df832a9ebda8d02eada42a3848bcab9b9b</t>
  </si>
  <si>
    <t>48</t>
  </si>
  <si>
    <t>7768423305</t>
  </si>
  <si>
    <t>2026-02-09 20:22:01</t>
  </si>
  <si>
    <t>49</t>
  </si>
  <si>
    <t>7776221854</t>
  </si>
  <si>
    <t>2026-02-10 10:41:09</t>
  </si>
  <si>
    <t>636836a45ff1ef5f421a06f72a74bc13fb38a432b047b53b7fb4ff275d24ef2f</t>
  </si>
  <si>
    <t>50</t>
  </si>
  <si>
    <t>7780762423</t>
  </si>
  <si>
    <t>2026-02-10 11:18:33</t>
  </si>
  <si>
    <t>0c10864615e689355bce75866fb62fdffd48e0b6dca35a88300f531b7c207f8a</t>
  </si>
  <si>
    <t>51</t>
  </si>
  <si>
    <t>7780246309</t>
  </si>
  <si>
    <t>2026-02-10 11:55:57</t>
  </si>
  <si>
    <t>53b6a70576f5f1b8976555f0303bb81af21a5aebfd60fe923233e64eb4e17024</t>
  </si>
  <si>
    <t>52</t>
  </si>
  <si>
    <t>7782939439</t>
  </si>
  <si>
    <t>2026-02-10 20:18:05</t>
  </si>
  <si>
    <t>d4ba8707fa9aba517de1143f3215ae25be6772b6ede7386d87715b702c9191f0</t>
  </si>
  <si>
    <t>53</t>
  </si>
  <si>
    <t>7781438889</t>
  </si>
  <si>
    <t>2026-02-10 20:46:57</t>
  </si>
  <si>
    <t>bd914242b6f8b8c2942462183af5f9c8be37ca695f608e41d5a2fb9a600f6300</t>
  </si>
  <si>
    <t>54</t>
  </si>
  <si>
    <t>7783900130</t>
  </si>
  <si>
    <t>2026-02-11 11:21:05</t>
  </si>
  <si>
    <t>55</t>
  </si>
  <si>
    <t>7777695426</t>
  </si>
  <si>
    <t>2026-02-11 13:18:13</t>
  </si>
  <si>
    <t>ceb2ec599f0d54acd59d31b3ab3d03e5251d0f69d671a4b6798c8ca63f6971c0</t>
  </si>
  <si>
    <t>56</t>
  </si>
  <si>
    <t>7785996480</t>
  </si>
  <si>
    <t>2026-02-11 21:37:01</t>
  </si>
  <si>
    <t>3ab9e7563ebfbaee9c872248e1d98c51c15c524a9dfabbbef56b23f22eb4b7d6</t>
  </si>
  <si>
    <t>57</t>
  </si>
  <si>
    <t>7787841050</t>
  </si>
  <si>
    <t>2026-02-12 10:59:52</t>
  </si>
  <si>
    <t>58</t>
  </si>
  <si>
    <t>7783911408</t>
  </si>
  <si>
    <t>2026-02-12 11:44:44</t>
  </si>
  <si>
    <t>061f500d6eecca1585e7788bc61722a831d81f343a885a6f3bcb0b7ffd9b6efe</t>
  </si>
  <si>
    <t>59</t>
  </si>
  <si>
    <t>7785381782</t>
  </si>
  <si>
    <t>2026-02-12 12:52:56</t>
  </si>
  <si>
    <t>bb38af6a4febdbb4300ae30e70ad16c4ed7954dbf11cb3f450068506c8a4255b</t>
  </si>
  <si>
    <t>60</t>
  </si>
  <si>
    <t>7786746763</t>
  </si>
  <si>
    <t>2026-02-12 13:28:25</t>
  </si>
  <si>
    <t>61</t>
  </si>
  <si>
    <t>7789748283</t>
  </si>
  <si>
    <t>2026-02-12 14:31:52</t>
  </si>
  <si>
    <t>f82c9ddcee6b21f6aa6e33e64666ea830d2849b5fa49566cee6af4e6e85d912b</t>
  </si>
  <si>
    <t>62</t>
  </si>
  <si>
    <t>7787026941</t>
  </si>
  <si>
    <t>2026-02-12 19:27:38</t>
  </si>
  <si>
    <t>23fd595f37b406378acf6cc49420e7450732e6b9984fce4a3c0f372ffaa5ac9d</t>
  </si>
  <si>
    <t>63</t>
  </si>
  <si>
    <t>7786532647</t>
  </si>
  <si>
    <t>2026-02-12 20:43:23</t>
  </si>
  <si>
    <t>f213fea4e19599235a5a761a268e268ab94494c38ef83087140f879f9ac02d6e</t>
  </si>
  <si>
    <t>64</t>
  </si>
  <si>
    <t>7784182470</t>
  </si>
  <si>
    <t>2026-02-13 10:00:42</t>
  </si>
  <si>
    <t>9137c235a737c3f7fea6731c74ef42337401812d19d36e27f95fb1faede3034c</t>
  </si>
  <si>
    <t>65</t>
  </si>
  <si>
    <t>7793451283</t>
  </si>
  <si>
    <t>2026-02-13 16:11:44</t>
  </si>
  <si>
    <t>42060c82ed7df1bda02e4f5f9d807ffedaa89cded507b523e8f14371ae7fcfcb</t>
  </si>
  <si>
    <t>66</t>
  </si>
  <si>
    <t>7793418482</t>
  </si>
  <si>
    <t>2026-02-13 18:15:15</t>
  </si>
  <si>
    <t>1b8ac2d7aed27014d69f6dfdbaeb5cf67d0e2c1bb8d9cfeac15ab33e087a058e</t>
  </si>
  <si>
    <t>67</t>
  </si>
  <si>
    <t>7793070795</t>
  </si>
  <si>
    <t>2026-02-13 20:32:00</t>
  </si>
  <si>
    <t>1de5b124298b6f90cb7dc55d601d2be03148484a41b909131584ef677f729b33</t>
  </si>
  <si>
    <t>68</t>
  </si>
  <si>
    <t>7795858069</t>
  </si>
  <si>
    <t>2026-02-14 13:21:02</t>
  </si>
  <si>
    <t>b1b265dbb6b2a768d336d231eee44b6246050d1cc8bd094fee92d1a1ff5bae61</t>
  </si>
  <si>
    <t>69</t>
  </si>
  <si>
    <t>7784612592</t>
  </si>
  <si>
    <t>2026-02-14 15:22:52</t>
  </si>
  <si>
    <t>cf71e1fa24b87d52e3f5b161fb53626c387ccf76dc6359b8c082f29713f982da</t>
  </si>
  <si>
    <t>70</t>
  </si>
  <si>
    <t>7796369264</t>
  </si>
  <si>
    <t>2026-02-14 15:31:10</t>
  </si>
  <si>
    <t>532ca84a3d3a19a6a7d1c6f4e5f6dc70de2cd213184c075819bca3ac0359d548</t>
  </si>
  <si>
    <t>71</t>
  </si>
  <si>
    <t>7785569166</t>
  </si>
  <si>
    <t>2026-02-14 20:04:51</t>
  </si>
  <si>
    <t>f4f448e2bb77c28716a9a0f8d6fe20ee5b46afb4887e9f2dcc6176a174075577</t>
  </si>
  <si>
    <t>72</t>
  </si>
  <si>
    <t>7798919989</t>
  </si>
  <si>
    <t>2026-02-14 20:43:14</t>
  </si>
  <si>
    <t>8d7e75169ca1e18c2976a6a6f6f1f70bbc441b5d99db7b4181cbfb6bc00c25a8</t>
  </si>
  <si>
    <t>73</t>
  </si>
  <si>
    <t>7795974614</t>
  </si>
  <si>
    <t>2026-02-14 22:04:49</t>
  </si>
  <si>
    <t>74</t>
  </si>
  <si>
    <t>7798289476</t>
  </si>
  <si>
    <t>2026-02-15 13:10:27</t>
  </si>
  <si>
    <t>f07c1fa539ed5dc4e89c6277665c748203baf1a2d10ab7e8c3839a3449f915d5</t>
  </si>
  <si>
    <t>75</t>
  </si>
  <si>
    <t>7799400107</t>
  </si>
  <si>
    <t>2026-02-15 13:52:09</t>
  </si>
  <si>
    <t>5669d067fbe2e7e2ce1d2eb260d5d5b983ab794ea2d1d2469596caa9489abbb1</t>
  </si>
  <si>
    <t>76</t>
  </si>
  <si>
    <t>7784102221</t>
  </si>
  <si>
    <t>2026-02-15 14:03:34</t>
  </si>
  <si>
    <t>e85ad841060294c11dcdede66c129ce2c9ec07dace898d2ca97848efa0aa12d0</t>
  </si>
  <si>
    <t>77</t>
  </si>
  <si>
    <t>7790673759</t>
  </si>
  <si>
    <t>2026-02-15 14:11:12</t>
  </si>
  <si>
    <t>78</t>
  </si>
  <si>
    <t>7796464688</t>
  </si>
  <si>
    <t>2026-02-15 14:11:34</t>
  </si>
  <si>
    <t>34fa189b4cba040a01c7e37d3d7af1d3a9a00d2f1d3e30f83ea9180be89fab2c</t>
  </si>
  <si>
    <t>79</t>
  </si>
  <si>
    <t>7799979073</t>
  </si>
  <si>
    <t>2026-02-15 14:11:58</t>
  </si>
  <si>
    <t>3a58bb059b7aac1672ffec2a473987a335dfd4c43d53bf70d414a81ce9cdf757</t>
  </si>
  <si>
    <t>80</t>
  </si>
  <si>
    <t>7798985490</t>
  </si>
  <si>
    <t>2026-02-15 14:22:38</t>
  </si>
  <si>
    <t>e0554d4efec5eeba5aa6580c53616bd36f1407a716f3964910a554f15f685492</t>
  </si>
  <si>
    <t>81</t>
  </si>
  <si>
    <t>7788698397</t>
  </si>
  <si>
    <t>2026-02-15 14:32:58</t>
  </si>
  <si>
    <t>671ecaee95e7b9764e66ed9b7d2ae404da4bdfb452f1ef683b8ce8be0f114918</t>
  </si>
  <si>
    <t>82</t>
  </si>
  <si>
    <t>7791024775</t>
  </si>
  <si>
    <t>2026-02-15 15:58:30</t>
  </si>
  <si>
    <t>b862f669b37df7aaf566b73314aed5c0decb08ee356044c4190b6acf20c2d6dd</t>
  </si>
  <si>
    <t>83</t>
  </si>
  <si>
    <t>7800555226</t>
  </si>
  <si>
    <t>2026-02-15 17:32:07</t>
  </si>
  <si>
    <t>0d24e420d7907da279c1566942215231fd26e5d547f7b3fc545722be2a9ec315</t>
  </si>
  <si>
    <t>84</t>
  </si>
  <si>
    <t>7799985381</t>
  </si>
  <si>
    <t>2026-02-15 18:06:40</t>
  </si>
  <si>
    <t>b016bf1f5bd3352fe176af1ca022105eee02c484e6d8959f9cdf832f694b7c5f</t>
  </si>
  <si>
    <t>85</t>
  </si>
  <si>
    <t>7795709335</t>
  </si>
  <si>
    <t>2026-02-15 18:34:17</t>
  </si>
  <si>
    <t>189141742d4bb9037676c7f3b12ed506adc69e74c52b03d9b119c9e7d2d4cb11</t>
  </si>
  <si>
    <t>86</t>
  </si>
  <si>
    <t>7802542602</t>
  </si>
  <si>
    <t>2026-02-15 19:04:38</t>
  </si>
  <si>
    <t>f1bdd4646deba503db6c4ef0f51564b6e7df3cc951ab32c7cb4949a292d7d988</t>
  </si>
  <si>
    <t>87</t>
  </si>
  <si>
    <t>7794574915</t>
  </si>
  <si>
    <t>2026-02-15 19:50:23</t>
  </si>
  <si>
    <t>1871afb125a03bb462c700567a81dabfc718adfef42a90166ed1a153eb31d02e</t>
  </si>
  <si>
    <t>88</t>
  </si>
  <si>
    <t>7800316474</t>
  </si>
  <si>
    <t>2026-02-15 20:07:51</t>
  </si>
  <si>
    <t>50e5be0c74eebc7d91f5ccecbadd75d99aeb25bdff0ed3b0df7f6ec64b59b2c6</t>
  </si>
  <si>
    <t>89</t>
  </si>
  <si>
    <t>7799921276</t>
  </si>
  <si>
    <t>2026-02-15 20:18:04</t>
  </si>
  <si>
    <t>038bb0b5dfbba381e03e32f3a1ced25e28b2562dd9581741e75eea6a26f5948b</t>
  </si>
  <si>
    <t>90</t>
  </si>
  <si>
    <t>7788796858</t>
  </si>
  <si>
    <t>2026-02-15 20:19:14</t>
  </si>
  <si>
    <t>63587d030bc96b3bc09401aa22520387332ab0b9cd5d533b28d27aedda6ef1b5</t>
  </si>
  <si>
    <t>91</t>
  </si>
  <si>
    <t>7791386842</t>
  </si>
  <si>
    <t>2026-02-15 20:24:11</t>
  </si>
  <si>
    <t>9c3b89eacef42a41203a94b15e088e0e57588b47bab96974127039d2baba579e</t>
  </si>
  <si>
    <t>92</t>
  </si>
  <si>
    <t>7799826357</t>
  </si>
  <si>
    <t>2026-02-15 20:28:37</t>
  </si>
  <si>
    <t>cc5c5cd58f53408b7a9853c1a3ab84f72d3529a15bf668834571ecfa80e5f0e6</t>
  </si>
  <si>
    <t>93</t>
  </si>
  <si>
    <t>7799584937</t>
  </si>
  <si>
    <t>2026-02-15 20:30:42</t>
  </si>
  <si>
    <t>94</t>
  </si>
  <si>
    <t>7800422932</t>
  </si>
  <si>
    <t>2026-02-15 20:32:36</t>
  </si>
  <si>
    <t>8b2e13c6e9435bea338caa0a1437dec8b54ef6e104d333ee6684d1496590d60d</t>
  </si>
  <si>
    <t>95</t>
  </si>
  <si>
    <t>7801831249</t>
  </si>
  <si>
    <t>2026-02-15 21:21:35</t>
  </si>
  <si>
    <t>f794325c761c13aad7350f1455e4e1955c0c0d539f29c019cf613cfba43695cb</t>
  </si>
  <si>
    <t>96</t>
  </si>
  <si>
    <t>7798808164</t>
  </si>
  <si>
    <t>2026-02-15 21:44:13</t>
  </si>
  <si>
    <t>97</t>
  </si>
  <si>
    <t>7798341223</t>
  </si>
  <si>
    <t>2026-02-15 22:15:28</t>
  </si>
  <si>
    <t>f3961a15ddf5857928c8a3cde53bc26e89a9d7ef49b6e306d1a026c0f6693141</t>
  </si>
  <si>
    <t>98</t>
  </si>
  <si>
    <t>7799031009</t>
  </si>
  <si>
    <t>2026-02-16 13:06:50</t>
  </si>
  <si>
    <t>2026-02-25 05:30:00</t>
  </si>
  <si>
    <t>CITIN26625847955</t>
  </si>
  <si>
    <t>3bc591697a2750d29eff68dc93273c1ced1241afcd15652b7e043eb1d7459687</t>
  </si>
  <si>
    <t>99</t>
  </si>
  <si>
    <t>7792246910</t>
  </si>
  <si>
    <t>2026-02-16 20:08:54</t>
  </si>
  <si>
    <t>584eee550db453c0a19777cf86415063abe43ae0c1bf9f0aecf0106bafa8d6d5</t>
  </si>
  <si>
    <t>100</t>
  </si>
  <si>
    <t>7804700858</t>
  </si>
  <si>
    <t>2026-02-16 20:59:13</t>
  </si>
  <si>
    <t>101</t>
  </si>
  <si>
    <t>7802494995</t>
  </si>
  <si>
    <t>2026-02-17 14:11:15</t>
  </si>
  <si>
    <t>7c802538418f3944ff2be53c472cfc437e192d44e75a695be80f78e543031535</t>
  </si>
  <si>
    <t>102</t>
  </si>
  <si>
    <t>7808924164</t>
  </si>
  <si>
    <t>2026-02-17 19:41:51</t>
  </si>
  <si>
    <t>47c57763f634327399f9f0a50537c740085ddcd5fea1f645fc13fde10183b57d</t>
  </si>
  <si>
    <t>103</t>
  </si>
  <si>
    <t>7808673884</t>
  </si>
  <si>
    <t>2026-02-17 20:43:47</t>
  </si>
  <si>
    <t>8885533d20130716798367b50b82186458d27292e64edccc8bb0889278a909ac</t>
  </si>
  <si>
    <t>104</t>
  </si>
  <si>
    <t>7811001961</t>
  </si>
  <si>
    <t>2026-02-18 12:53:39</t>
  </si>
  <si>
    <t>bb80966635edd801c0057c729d21495c064df586a722f4b7d1b0500a46d8130c</t>
  </si>
  <si>
    <t>105</t>
  </si>
  <si>
    <t>7809599760</t>
  </si>
  <si>
    <t>2026-02-18 13:03:05</t>
  </si>
  <si>
    <t>106</t>
  </si>
  <si>
    <t>7809014340</t>
  </si>
  <si>
    <t>2026-02-18 14:22:08</t>
  </si>
  <si>
    <t>ab767e53cecc1a8dda238b3ff606496a127728841a93a34cee4ddaf9b5b89f18</t>
  </si>
  <si>
    <t>107</t>
  </si>
  <si>
    <t>7812213047</t>
  </si>
  <si>
    <t>2026-02-18 21:29:54</t>
  </si>
  <si>
    <t>486aad62456f474f3dddc7451a004905a853e7e896c64e0a542697901befcbb0</t>
  </si>
  <si>
    <t>108</t>
  </si>
  <si>
    <t>7811697751</t>
  </si>
  <si>
    <t>2026-02-19 13:49:06</t>
  </si>
  <si>
    <t>29656c50f4e5d6751495686ea9ba68f4a66852486a1caca24d3e8d503d9ae528</t>
  </si>
  <si>
    <t>109</t>
  </si>
  <si>
    <t>7813244550</t>
  </si>
  <si>
    <t>2026-02-19 17:22:41</t>
  </si>
  <si>
    <t>76b65d453bce36a2412de40fa34c1c7727aab45380a2b35e3f1b0a5afb5fb5a9</t>
  </si>
  <si>
    <t>110</t>
  </si>
  <si>
    <t>7815820135</t>
  </si>
  <si>
    <t>2026-02-19 21:56:34</t>
  </si>
  <si>
    <t>0c2073e1f20a1f1fc744d89b2e1487cef5bf75e8c92bb401176dae219b816516</t>
  </si>
  <si>
    <t>111</t>
  </si>
  <si>
    <t>7809462412</t>
  </si>
  <si>
    <t>2026-02-20 13:10:18</t>
  </si>
  <si>
    <t>df2d673044fcdf31602ecb45740296c84b061a2e183dd76bcc24c9a14b82f2bf</t>
  </si>
  <si>
    <t>112</t>
  </si>
  <si>
    <t>7809734065</t>
  </si>
  <si>
    <t>2026-02-20 13:28:54</t>
  </si>
  <si>
    <t>3cef21e0235778ade6131bddef260561522058567c2dd96c255a02963897bbc2</t>
  </si>
  <si>
    <t>113</t>
  </si>
  <si>
    <t>7815765430</t>
  </si>
  <si>
    <t>2026-02-20 19:26:54</t>
  </si>
  <si>
    <t>1498552a8e976efbf314e7a4609e21f17411781194b2096af3da8b59a57b3d0b</t>
  </si>
  <si>
    <t>114</t>
  </si>
  <si>
    <t>7817625578</t>
  </si>
  <si>
    <t>2026-02-20 20:34:45</t>
  </si>
  <si>
    <t>9bdded2d271699f73e822825cf0741bb86e660dce22f7818abf8f06ee5720095</t>
  </si>
  <si>
    <t>115</t>
  </si>
  <si>
    <t>7812679058</t>
  </si>
  <si>
    <t>2026-02-21 12:57:07</t>
  </si>
  <si>
    <t>26225928975f2d4752def94be96de9df59901424eac061a063b15e205311c740</t>
  </si>
  <si>
    <t>116</t>
  </si>
  <si>
    <t>7815326745</t>
  </si>
  <si>
    <t>2026-02-21 12:57:30</t>
  </si>
  <si>
    <t>117</t>
  </si>
  <si>
    <t>7817504394</t>
  </si>
  <si>
    <t>2026-02-21 13:33:42</t>
  </si>
  <si>
    <t>118</t>
  </si>
  <si>
    <t>7817770168</t>
  </si>
  <si>
    <t>2026-02-21 14:31:31</t>
  </si>
  <si>
    <t>bd38b9e73db29a6203a493f01ace535cb4055f68106acb02c986d409d15e74a9</t>
  </si>
  <si>
    <t>119</t>
  </si>
  <si>
    <t>7820815901</t>
  </si>
  <si>
    <t>2026-02-21 15:26:31</t>
  </si>
  <si>
    <t>120</t>
  </si>
  <si>
    <t>7815185874</t>
  </si>
  <si>
    <t>2026-02-21 15:50:03</t>
  </si>
  <si>
    <t>3e1bed3cb2be929220f2ac3fd2775e1038f9a84d1af12e8a00fd4675da38ee52</t>
  </si>
  <si>
    <t>121</t>
  </si>
  <si>
    <t>7818946009</t>
  </si>
  <si>
    <t>2026-02-21 17:01:14</t>
  </si>
  <si>
    <t>553e494ab612c2f47b1ce3c301bcfb22931396747d782bf6cb8a3080960aa1e8</t>
  </si>
  <si>
    <t>122</t>
  </si>
  <si>
    <t>7813458195</t>
  </si>
  <si>
    <t>2026-02-21 18:33:29</t>
  </si>
  <si>
    <t>123</t>
  </si>
  <si>
    <t>7816035549</t>
  </si>
  <si>
    <t>2026-02-21 19:42:00</t>
  </si>
  <si>
    <t>5c824ba73fffb9336743aa4ed6a74c1f1368b6fcc7df34b0d65895b5b4a88941</t>
  </si>
  <si>
    <t>124</t>
  </si>
  <si>
    <t>7823260445</t>
  </si>
  <si>
    <t>2026-02-21 20:59:27</t>
  </si>
  <si>
    <t>125</t>
  </si>
  <si>
    <t>7821590800</t>
  </si>
  <si>
    <t>2026-02-22 10:52:28</t>
  </si>
  <si>
    <t>6e966a1cf3f82d3a91448b88aec5306030eb74d66ae474fd5cf07ee050797811</t>
  </si>
  <si>
    <t>126</t>
  </si>
  <si>
    <t>7822399323</t>
  </si>
  <si>
    <t>2026-02-22 13:28:37</t>
  </si>
  <si>
    <t>95de8c8f048f24bf806100dc20668b5b09b5f129269b8aefc4d7add34d64f996</t>
  </si>
  <si>
    <t>127</t>
  </si>
  <si>
    <t>7817662265</t>
  </si>
  <si>
    <t>2026-02-22 13:30:27</t>
  </si>
  <si>
    <t>dec84bf57037e710945b79cec281302693a46feaa2cf20359cb0859b083f0c22</t>
  </si>
  <si>
    <t>128</t>
  </si>
  <si>
    <t>7821089467</t>
  </si>
  <si>
    <t>2026-02-22 15:33:37</t>
  </si>
  <si>
    <t>5b5e4346aa076c74298b2cbd4aa219a61ad2e039f3719e221e26a3957bafa30c</t>
  </si>
  <si>
    <t>129</t>
  </si>
  <si>
    <t>7826778398</t>
  </si>
  <si>
    <t>2026-02-22 20:17:09</t>
  </si>
  <si>
    <t>b18434506e4b24f838e044264d8e216fe241190cd05b59f00ee9b4026e0e6020</t>
  </si>
  <si>
    <t>130</t>
  </si>
  <si>
    <t>7820998858</t>
  </si>
  <si>
    <t>2026-02-23 11:43:58</t>
  </si>
  <si>
    <t>pending</t>
  </si>
  <si>
    <t>131</t>
  </si>
  <si>
    <t>7828395377</t>
  </si>
  <si>
    <t>2026-02-23 13:56:04</t>
  </si>
  <si>
    <t>b74708ab0e36bc97d3fe3d8db9fad1ce41b9802ab893f8e7d017f63568a18f63</t>
  </si>
  <si>
    <t>132</t>
  </si>
  <si>
    <t>7819319670</t>
  </si>
  <si>
    <t>2026-02-23 21:25:09</t>
  </si>
  <si>
    <t>c5043a8ebd798be87ca279ad184ecad6b4fe755f1f2ad54b60985c9ce43cdd6f</t>
  </si>
  <si>
    <t>133</t>
  </si>
  <si>
    <t>7819398536</t>
  </si>
  <si>
    <t>2026-02-24 15:35:41</t>
  </si>
  <si>
    <t>71bcfb516ea23c8edf35bae4168905143f2f6ec2655fcce8e9b8edfc2c47706c</t>
  </si>
  <si>
    <t>134</t>
  </si>
  <si>
    <t>7834755232</t>
  </si>
  <si>
    <t>2026-02-25 14:04:14</t>
  </si>
  <si>
    <t>135</t>
  </si>
  <si>
    <t>7832463563</t>
  </si>
  <si>
    <t>2026-02-25 17:26:47</t>
  </si>
  <si>
    <t>136</t>
  </si>
  <si>
    <t>7831319439</t>
  </si>
  <si>
    <t>2026-02-25 18:16:52</t>
  </si>
  <si>
    <t>137</t>
  </si>
  <si>
    <t>7838508018</t>
  </si>
  <si>
    <t>2026-02-26 12:57:09</t>
  </si>
  <si>
    <t>09f09536a020e34854e6e60947a0426997986955e93225e6ede9a831c66b82c7</t>
  </si>
  <si>
    <t>138</t>
  </si>
  <si>
    <t>7838698479</t>
  </si>
  <si>
    <t>2026-02-26 13:39:22</t>
  </si>
  <si>
    <t>139</t>
  </si>
  <si>
    <t>7838817531</t>
  </si>
  <si>
    <t>2026-02-26 20:56:57</t>
  </si>
  <si>
    <t>c1efbf172dd41485ae04679e8f9bdd7a3272452a54d201e55ef1b663740abb3d</t>
  </si>
  <si>
    <t>140</t>
  </si>
  <si>
    <t>7830545903</t>
  </si>
  <si>
    <t>2026-02-26 21:34:21</t>
  </si>
  <si>
    <t>141</t>
  </si>
  <si>
    <t>7835001726</t>
  </si>
  <si>
    <t>2026-02-27 11:27:34</t>
  </si>
  <si>
    <t>142</t>
  </si>
  <si>
    <t>7835996140</t>
  </si>
  <si>
    <t>2026-02-27 19:15:45</t>
  </si>
  <si>
    <t>143</t>
  </si>
  <si>
    <t>7839761768</t>
  </si>
  <si>
    <t>2026-02-27 19:46:01</t>
  </si>
  <si>
    <t>e6fa8fd246ced6236e86ead68744f6de6017a09c9054092c7d391d69655dc077</t>
  </si>
  <si>
    <t>144</t>
  </si>
  <si>
    <t>7842597046</t>
  </si>
  <si>
    <t>2026-02-27 20:04:59</t>
  </si>
  <si>
    <t>f604c821bbe3de8f5becf436d229a4ef851f998c2961c6e67e1b24abda467ad0</t>
  </si>
  <si>
    <t>145</t>
  </si>
  <si>
    <t>7815165040</t>
  </si>
  <si>
    <t>2026-02-27 20:20:20</t>
  </si>
  <si>
    <t>dc42382dc0f699225c1e32bfb4c0cee60920db3f2885a011995982dde8edadba</t>
  </si>
  <si>
    <t>146</t>
  </si>
  <si>
    <t>7842411578</t>
  </si>
  <si>
    <t>2026-02-27 20:49:12</t>
  </si>
  <si>
    <t>147</t>
  </si>
  <si>
    <t>7845118028</t>
  </si>
  <si>
    <t>2026-02-28 10:24:57</t>
  </si>
  <si>
    <t>9002f77659eb3b45cd7392268ea83b36ca04aa168fc646493de375b6d6cec2ca</t>
  </si>
  <si>
    <t>148</t>
  </si>
  <si>
    <t>7844744568</t>
  </si>
  <si>
    <t>2026-02-28 13:43:07</t>
  </si>
  <si>
    <t>ecea12f6e67fa2bf528b1889683e412033a9a564a1d51c1170de56cc4d7e1ff1</t>
  </si>
  <si>
    <t>149</t>
  </si>
  <si>
    <t>7845521424</t>
  </si>
  <si>
    <t>2026-02-28 16:36:50</t>
  </si>
  <si>
    <t>7b873fdc02eac526cbecd2af426acc04e0028b875b41f0d589db81d0478b0b51</t>
  </si>
  <si>
    <t>150</t>
  </si>
  <si>
    <t>7847213535</t>
  </si>
  <si>
    <t>2026-02-28 19:16:02</t>
  </si>
  <si>
    <t>098033066f1d0a8ec44f2100f91c921890cdecad84ae7440a89afeeb0b8ba25a</t>
  </si>
  <si>
    <t>151</t>
  </si>
  <si>
    <t>7843668230</t>
  </si>
  <si>
    <t>2026-02-28 20:58:53</t>
  </si>
  <si>
    <t>d821481290e776357e257375cf3182c948f84e7902d3302d79f4639d6e7e41e8</t>
  </si>
  <si>
    <t>Addition Type</t>
  </si>
  <si>
    <t>Type</t>
  </si>
  <si>
    <t>Invoice No/Order id</t>
  </si>
  <si>
    <t>Order date</t>
  </si>
  <si>
    <t>Total amount</t>
  </si>
  <si>
    <t>Adjusted amount</t>
  </si>
  <si>
    <t>Outstanding amount</t>
  </si>
  <si>
    <t>Total Additions</t>
  </si>
  <si>
    <t/>
  </si>
  <si>
    <t>Deduction Type</t>
  </si>
  <si>
    <t>A) Investments in growth services</t>
  </si>
  <si>
    <t>Res id for which deduction created</t>
  </si>
  <si>
    <t>Invoice No/Campaign id</t>
  </si>
  <si>
    <t>Deduction time period</t>
  </si>
  <si>
    <t>Settlement Status</t>
  </si>
  <si>
    <t>Total Ads &amp; miscellaneous services</t>
  </si>
  <si>
    <t>B) Investments in Hyperpure</t>
  </si>
  <si>
    <t>OrderId</t>
  </si>
  <si>
    <t>Total Hyperpure</t>
  </si>
  <si>
    <t>C) Other deductions</t>
  </si>
  <si>
    <t>D) Adjustments from previous weeks</t>
  </si>
  <si>
    <t>Total Deductions (A) + (B) + (C)</t>
  </si>
  <si>
    <t>01 Feb 2026 - 28 Feb 2026</t>
  </si>
  <si>
    <t>92707</t>
  </si>
  <si>
    <t>Manaswini Food Private Limited</t>
  </si>
  <si>
    <t>1st floor,Pune, Aurangabad, Maharashtra</t>
  </si>
  <si>
    <t>AAKCM0381K</t>
  </si>
  <si>
    <t>27AAKCM0381K1Z7</t>
  </si>
  <si>
    <t>Weekly (Every Wednesday)</t>
  </si>
  <si>
    <t>27AADCD4946L1CL</t>
  </si>
  <si>
    <t>27AADCD4946L1ZA</t>
  </si>
  <si>
    <t>CITIN26625847955,CITIN26617354846,CITIN26620176758,CITIN26622782803,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</si>
</sst>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0.00"/>
    <numFmt numFmtId="165" formatCode="&quot;₹&quot;#,##0"/>
    <numFmt numFmtId="166" formatCode="[$₹]#,##0.0000000"/>
    <numFmt numFmtId="167" formatCode="[$₹]#,##0"/>
    <numFmt numFmtId="168" formatCode="m/d/yyyy"/>
    <numFmt numFmtId="169" formatCode="&quot;₹&quot;#,##0.0"/>
    <numFmt numFmtId="170" formatCode="0.0%"/>
    <numFmt numFmtId="171" formatCode="\₹#,##0.00"/>
  </numFmts>
  <fonts count="51">
    <font>
      <sz val="10"/>
      <color rgb="FF000000"/>
      <name val="Roboto"/>
      <scheme val="minor"/>
    </font>
    <font>
      <sz val="10"/>
      <color theme="1"/>
      <name val="Proxima Nova"/>
    </font>
    <font>
      <b/>
      <u/>
      <sz val="18"/>
      <color rgb="FFFFFFFF"/>
      <name val="Proxima Nova"/>
    </font>
    <font>
      <b/>
      <sz val="18"/>
      <color rgb="FFFFFFFF"/>
      <name val="Proxima Nova"/>
    </font>
    <font>
      <sz val="10"/>
      <name val="Roboto"/>
    </font>
    <font>
      <b/>
      <sz val="10"/>
      <color theme="1"/>
      <name val="Proxima Nova"/>
    </font>
    <font>
      <b/>
      <sz val="12"/>
      <color theme="1"/>
      <name val="Proxima Nova"/>
    </font>
    <font>
      <sz val="12"/>
      <color theme="1"/>
      <name val="Proxima Nova"/>
    </font>
    <font>
      <b/>
      <sz val="12"/>
      <color rgb="FF000000"/>
      <name val="Proxima Nova"/>
    </font>
    <font>
      <b/>
      <sz val="13"/>
      <color theme="1"/>
      <name val="Proxima Nova"/>
    </font>
    <font>
      <sz val="13"/>
      <color theme="1"/>
      <name val="Proxima Nova"/>
    </font>
    <font>
      <b/>
      <sz val="20"/>
      <color rgb="FF1D1C1D"/>
      <name val="Proxima Nova"/>
    </font>
    <font>
      <b/>
      <sz val="12"/>
      <color rgb="FF1D1C1D"/>
      <name val="Proxima Nova"/>
    </font>
    <font>
      <sz val="14"/>
      <color theme="1"/>
      <name val="Proxima Nova"/>
    </font>
    <font>
      <sz val="15"/>
      <color rgb="FF666666"/>
      <name val="Proxima Nova"/>
    </font>
    <font>
      <sz val="14"/>
      <color rgb="FF666666"/>
      <name val="Proxima Nova"/>
    </font>
    <font>
      <b/>
      <sz val="13"/>
      <color rgb="FF1155CC"/>
      <name val="Proxima Nova"/>
    </font>
    <font>
      <i/>
      <sz val="10"/>
      <color theme="7"/>
      <name val="Proxima Nova"/>
    </font>
    <font>
      <sz val="10"/>
      <color theme="1"/>
      <name val="Roboto"/>
    </font>
    <font>
      <b/>
      <sz val="20"/>
      <color rgb="FFFFFFFF"/>
      <name val="Proxima Nova"/>
    </font>
    <font>
      <b/>
      <sz val="15"/>
      <color theme="1"/>
      <name val="Proxima Nova"/>
    </font>
    <font>
      <sz val="10"/>
      <color rgb="FF000000"/>
      <name val="Proxima Nova"/>
    </font>
    <font>
      <b/>
      <sz val="15"/>
      <color rgb="FF000000"/>
      <name val="Proxima Nova"/>
    </font>
    <font>
      <b/>
      <sz val="15"/>
      <color rgb="FF38761D"/>
      <name val="Proxima Nova"/>
    </font>
    <font>
      <sz val="10"/>
      <color theme="1"/>
      <name val="Roboto"/>
    </font>
    <font>
      <b/>
      <sz val="10"/>
      <color theme="1"/>
      <name val="Roboto"/>
    </font>
    <font>
      <b/>
      <sz val="10"/>
      <color rgb="FF000000"/>
      <name val="Roboto"/>
    </font>
    <font>
      <b/>
      <sz val="15"/>
      <color rgb="FF980000"/>
      <name val="Proxima Nova"/>
    </font>
    <font>
      <sz val="12"/>
      <color rgb="FF000000"/>
      <name val="Proxima Nova"/>
    </font>
    <font>
      <b/>
      <sz val="17"/>
      <color rgb="FF38761D"/>
      <name val="Proxima Nova"/>
    </font>
    <font>
      <b/>
      <sz val="12"/>
      <color rgb="FF666666"/>
      <name val="Proxima Nova"/>
    </font>
    <font>
      <b/>
      <sz val="14"/>
      <color theme="1"/>
      <name val="Proxima Nova"/>
    </font>
    <font>
      <b/>
      <sz val="10"/>
      <color rgb="FF0000FF"/>
      <name val="Proxima Nova"/>
    </font>
    <font>
      <b/>
      <sz val="15"/>
      <color theme="0"/>
      <name val="Proxima Nova"/>
    </font>
    <font>
      <sz val="10"/>
      <color theme="0"/>
      <name val="Proxima Nova"/>
    </font>
    <font>
      <b/>
      <u/>
      <sz val="15"/>
      <color theme="1"/>
      <name val="Proxima Nova"/>
    </font>
    <font>
      <b/>
      <sz val="15"/>
      <name val="Proxima Nova"/>
    </font>
    <font>
      <b/>
      <sz val="12"/>
      <name val="Proxima Nova"/>
    </font>
    <font>
      <b/>
      <sz val="15"/>
      <name val="Proxima Nova"/>
    </font>
    <font>
      <b/>
      <sz val="15"/>
      <name val="Proxima Nova"/>
    </font>
    <font>
      <sz val="12"/>
      <name val="Proxima Nova"/>
    </font>
    <font>
      <b/>
      <sz val="12"/>
      <name val="Proxima Nova"/>
    </font>
    <font>
      <b/>
      <sz val="14"/>
      <color rgb="FF666666"/>
      <name val="Proxima Nova"/>
    </font>
    <font>
      <sz val="10"/>
      <color rgb="FF666666"/>
      <name val="Arial"/>
    </font>
    <font>
      <b/>
      <sz val="12"/>
      <color rgb="FF666666"/>
      <name val="Arial"/>
    </font>
    <font>
      <sz val="12"/>
      <color rgb="FF000000"/>
      <name val="&quot;Proxima Nova&quot;, Arial"/>
    </font>
    <font>
      <i/>
      <sz val="9"/>
      <color rgb="FF666666"/>
      <name val="&quot;Proxima Nova&quot;, Arial"/>
    </font>
    <font>
      <sz val="10"/>
      <color rgb="FF666666"/>
      <name val="Proxima Nova"/>
    </font>
    <font>
      <sz val="12"/>
      <color rgb="FF000000"/>
      <name val="Arial"/>
    </font>
    <font>
      <i/>
      <sz val="9"/>
      <color rgb="FF666666"/>
      <name val="Arial"/>
    </font>
    <font>
      <sz val="9"/>
      <color rgb="FF666666"/>
      <name val="&quot;Proxima Nova&quot;, Arial"/>
    </font>
  </fonts>
  <fills count="14">
    <fill>
      <patternFill patternType="none"/>
    </fill>
    <fill>
      <patternFill patternType="gray125"/>
    </fill>
    <fill>
      <patternFill patternType="solid">
        <fgColor theme="0"/>
        <bgColor theme="0"/>
      </patternFill>
    </fill>
    <fill>
      <patternFill patternType="solid">
        <fgColor rgb="FF3C78D8"/>
        <bgColor rgb="FF3C78D8"/>
      </patternFill>
    </fill>
    <fill>
      <patternFill patternType="solid">
        <fgColor rgb="FFFFFFFF"/>
        <bgColor rgb="FFFFFFFF"/>
      </patternFill>
    </fill>
    <fill>
      <patternFill patternType="solid">
        <fgColor rgb="FFEFEFEF"/>
        <bgColor rgb="FFEFEFEF"/>
      </patternFill>
    </fill>
    <fill>
      <patternFill patternType="solid">
        <fgColor rgb="FFDEEAF6"/>
        <bgColor rgb="FFDEEAF6"/>
      </patternFill>
    </fill>
    <fill>
      <patternFill patternType="solid">
        <fgColor rgb="FFF3F3F3"/>
        <bgColor rgb="FFF3F3F3"/>
      </patternFill>
    </fill>
    <fill>
      <patternFill patternType="solid">
        <fgColor rgb="FFF2F2F2"/>
        <bgColor rgb="FFF2F2F2"/>
      </patternFill>
    </fill>
    <fill>
      <patternFill patternType="solid">
        <fgColor rgb="FFCFE2F3"/>
        <bgColor rgb="FFCFE2F3"/>
      </patternFill>
    </fill>
    <fill>
      <patternFill patternType="solid">
        <fgColor rgb="FFE3F3FF"/>
        <bgColor rgb="FFE3F3FF"/>
      </patternFill>
    </fill>
    <fill>
      <patternFill patternType="solid">
        <fgColor indexed="9"/>
      </patternFill>
    </fill>
    <fill>
      <patternFill patternType="solid">
        <fgColor rgb="FFF2F2F2"/>
      </patternFill>
    </fill>
    <fill>
      <patternFill patternType="solid">
        <fgColor rgb="FFDBD5F5"/>
      </patternFill>
    </fill>
  </fills>
  <borders count="58">
    <border>
      <left/>
      <right/>
      <top/>
      <bottom/>
      <diagonal/>
    </border>
    <border>
      <left/>
      <right/>
      <top/>
      <bottom/>
      <diagonal/>
    </border>
    <border>
      <left style="thin">
        <color rgb="FFBDBDBD"/>
      </left>
      <right/>
      <top style="thin">
        <color rgb="FFBDBDBD"/>
      </top>
      <bottom/>
      <diagonal/>
    </border>
    <border>
      <left/>
      <right style="thin">
        <color rgb="FFBDBDBD"/>
      </right>
      <top style="thin">
        <color rgb="FFBDBDBD"/>
      </top>
      <bottom/>
      <diagonal/>
    </border>
    <border>
      <left style="thin">
        <color rgb="FFBDBDBD"/>
      </left>
      <right/>
      <top/>
      <bottom/>
      <diagonal/>
    </border>
    <border>
      <left/>
      <right style="thin">
        <color rgb="FFBDBDBD"/>
      </right>
      <top/>
      <bottom/>
      <diagonal/>
    </border>
    <border>
      <left style="thin">
        <color rgb="FFBDBDBD"/>
      </left>
      <right/>
      <top/>
      <bottom/>
      <diagonal/>
    </border>
    <border>
      <left/>
      <right style="thin">
        <color rgb="FFBDBDBD"/>
      </right>
      <top/>
      <bottom/>
      <diagonal/>
    </border>
    <border>
      <left style="thin">
        <color rgb="FFBDBDBD"/>
      </left>
      <right/>
      <top/>
      <bottom style="thin">
        <color rgb="FFBDBDBD"/>
      </bottom>
      <diagonal/>
    </border>
    <border>
      <left/>
      <right style="thin">
        <color rgb="FFBDBDBD"/>
      </right>
      <top/>
      <bottom style="thin">
        <color rgb="FFBDBDBD"/>
      </bottom>
      <diagonal/>
    </border>
    <border>
      <left/>
      <right/>
      <top style="thin">
        <color rgb="FFBDBDBD"/>
      </top>
      <bottom/>
      <diagonal/>
    </border>
    <border>
      <left style="thin">
        <color rgb="FFBDBDBD"/>
      </left>
      <right/>
      <top/>
      <bottom/>
      <diagonal/>
    </border>
    <border>
      <left/>
      <right/>
      <top/>
      <bottom/>
      <diagonal/>
    </border>
    <border>
      <left/>
      <right style="thin">
        <color rgb="FFBDBDBD"/>
      </right>
      <top/>
      <bottom/>
      <diagonal/>
    </border>
    <border>
      <left style="thin">
        <color rgb="FFBDBDBD"/>
      </left>
      <right/>
      <top style="thin">
        <color rgb="FFB7B7B7"/>
      </top>
      <bottom/>
      <diagonal/>
    </border>
    <border>
      <left style="thin">
        <color rgb="FFB7B7B7"/>
      </left>
      <right/>
      <top style="thin">
        <color rgb="FFB7B7B7"/>
      </top>
      <bottom/>
      <diagonal/>
    </border>
    <border>
      <left/>
      <right style="thin">
        <color rgb="FFBDBDBD"/>
      </right>
      <top style="thin">
        <color rgb="FFB7B7B7"/>
      </top>
      <bottom/>
      <diagonal/>
    </border>
    <border>
      <left style="thin">
        <color rgb="FFBDBDBD"/>
      </left>
      <right style="thin">
        <color rgb="FFBDBDBD"/>
      </right>
      <top style="thin">
        <color rgb="FFBDBDBD"/>
      </top>
      <bottom style="thin">
        <color rgb="FFBDBDBD"/>
      </bottom>
      <diagonal/>
    </border>
    <border>
      <left style="thin">
        <color rgb="FFBDBDBD"/>
      </left>
      <right/>
      <top style="thin">
        <color rgb="FFBDBDBD"/>
      </top>
      <bottom style="thin">
        <color rgb="FFBDBDBD"/>
      </bottom>
      <diagonal/>
    </border>
    <border>
      <left/>
      <right style="thin">
        <color rgb="FFBDBDBD"/>
      </right>
      <top style="thin">
        <color rgb="FFBDBDBD"/>
      </top>
      <bottom style="thin">
        <color rgb="FFBDBDBD"/>
      </bottom>
      <diagonal/>
    </border>
    <border>
      <left/>
      <right/>
      <top/>
      <bottom/>
      <diagonal/>
    </border>
    <border>
      <left style="hair">
        <color rgb="FF999999"/>
      </left>
      <right style="hair">
        <color rgb="FF999999"/>
      </right>
      <top style="hair">
        <color rgb="FF999999"/>
      </top>
      <bottom style="hair">
        <color rgb="FF999999"/>
      </bottom>
      <diagonal/>
    </border>
    <border>
      <left/>
      <right style="hair">
        <color rgb="FF999999"/>
      </right>
      <top style="hair">
        <color rgb="FF999999"/>
      </top>
      <bottom style="hair">
        <color rgb="FF999999"/>
      </bottom>
      <diagonal/>
    </border>
    <border>
      <left/>
      <right/>
      <top style="hair">
        <color rgb="FF999999"/>
      </top>
      <bottom style="hair">
        <color rgb="FF999999"/>
      </bottom>
      <diagonal/>
    </border>
    <border>
      <left style="hair">
        <color rgb="FFCCCCCC"/>
      </left>
      <right style="hair">
        <color rgb="FFCCCCCC"/>
      </right>
      <top style="hair">
        <color rgb="FFCCCCCC"/>
      </top>
      <bottom style="hair">
        <color rgb="FFCCCCCC"/>
      </bottom>
      <diagonal/>
    </border>
    <border>
      <left style="hair">
        <color rgb="FF000000"/>
      </left>
      <right style="hair">
        <color rgb="FF000000"/>
      </right>
      <top style="hair">
        <color rgb="FF000000"/>
      </top>
      <bottom style="hair">
        <color rgb="FF000000"/>
      </bottom>
      <diagonal/>
    </border>
    <border>
      <left/>
      <right style="medium">
        <color rgb="FFD8D8D8"/>
      </right>
      <top/>
      <bottom/>
      <diagonal/>
    </border>
    <border>
      <left style="medium">
        <color rgb="FFD8D8D8"/>
      </left>
      <right style="medium">
        <color rgb="FFD8D8D8"/>
      </right>
      <top/>
      <bottom/>
      <diagonal/>
    </border>
    <border>
      <left style="medium">
        <color rgb="FFD8D8D8"/>
      </left>
      <right/>
      <top style="thin">
        <color rgb="FFCCCCCC"/>
      </top>
      <bottom/>
      <diagonal/>
    </border>
    <border>
      <left/>
      <right/>
      <top style="thin">
        <color rgb="FFCCCCCC"/>
      </top>
      <bottom/>
      <diagonal/>
    </border>
    <border>
      <left/>
      <right style="thin">
        <color rgb="FFCCCCCC"/>
      </right>
      <top/>
      <bottom/>
      <diagonal/>
    </border>
    <border>
      <left style="medium">
        <color rgb="FFD8D8D8"/>
      </left>
      <right style="thin">
        <color rgb="FFCCCCCC"/>
      </right>
      <top style="thin">
        <color rgb="FFCCCCCC"/>
      </top>
      <bottom/>
      <diagonal/>
    </border>
    <border>
      <left style="thin">
        <color rgb="FFCCCCCC"/>
      </left>
      <right style="thin">
        <color rgb="FFCCCCCC"/>
      </right>
      <top style="thin">
        <color rgb="FFCCCCCC"/>
      </top>
      <bottom/>
      <diagonal/>
    </border>
    <border>
      <left style="thin">
        <color rgb="FFCCCCCC"/>
      </left>
      <right/>
      <top style="thin">
        <color rgb="FFCCCCCC"/>
      </top>
      <bottom/>
      <diagonal/>
    </border>
    <border>
      <left style="thick">
        <color rgb="FFCCCCCC"/>
      </left>
      <right style="thin">
        <color rgb="FFCCCCCC"/>
      </right>
      <top style="thin">
        <color rgb="FFCCCCCC"/>
      </top>
      <bottom/>
      <diagonal/>
    </border>
    <border>
      <left/>
      <right style="medium">
        <color rgb="FFD8D8D8"/>
      </right>
      <top style="thin">
        <color rgb="FFCCCCCC"/>
      </top>
      <bottom/>
      <diagonal/>
    </border>
    <border>
      <left style="thin">
        <color rgb="FFD8D8D8"/>
      </left>
      <right/>
      <top style="thin">
        <color rgb="FFD8D8D8"/>
      </top>
      <bottom/>
      <diagonal/>
    </border>
    <border>
      <left/>
      <right/>
      <top style="thin">
        <color rgb="FFD8D8D8"/>
      </top>
      <bottom/>
      <diagonal/>
    </border>
    <border>
      <left/>
      <right style="thin">
        <color rgb="FFD8D8D8"/>
      </right>
      <top style="thin">
        <color rgb="FFD8D8D8"/>
      </top>
      <bottom/>
      <diagonal/>
    </border>
    <border>
      <left style="thin">
        <color rgb="FFD8D8D8"/>
      </left>
      <right/>
      <top/>
      <bottom style="thin">
        <color rgb="FFD8D8D8"/>
      </bottom>
      <diagonal/>
    </border>
    <border>
      <left/>
      <right/>
      <top/>
      <bottom style="thin">
        <color rgb="FFD8D8D8"/>
      </bottom>
      <diagonal/>
    </border>
    <border>
      <left/>
      <right/>
      <top/>
      <bottom style="thin">
        <color rgb="FFD8D8D8"/>
      </bottom>
      <diagonal/>
    </border>
    <border>
      <left/>
      <right style="thin">
        <color rgb="FFD8D8D8"/>
      </right>
      <top/>
      <bottom style="thin">
        <color rgb="FFD8D8D8"/>
      </bottom>
      <diagonal/>
    </border>
    <border>
      <left style="thin">
        <color rgb="FFD8D8D8"/>
      </left>
      <right/>
      <top/>
      <bottom/>
      <diagonal/>
    </border>
    <border>
      <left/>
      <right style="thin">
        <color rgb="FFD8D8D8"/>
      </right>
      <top/>
      <bottom/>
      <diagonal/>
    </border>
    <border>
      <left style="thin">
        <color rgb="FFD8D8D8"/>
      </left>
      <right/>
      <top/>
      <bottom/>
      <diagonal/>
    </border>
    <border>
      <left style="thin">
        <color rgb="FFD8D8D8"/>
      </left>
      <right style="thin">
        <color rgb="FFD8D8D8"/>
      </right>
      <top style="thin">
        <color rgb="FFD8D8D8"/>
      </top>
      <bottom style="thin">
        <color rgb="FFD8D8D8"/>
      </bottom>
      <diagonal/>
    </border>
    <border>
      <left style="thin">
        <color rgb="FFCCCCCC"/>
      </left>
      <right/>
      <top style="thin">
        <color rgb="FFCCCCCC"/>
      </top>
      <bottom/>
      <diagonal/>
    </border>
    <border>
      <left/>
      <right/>
      <top style="thin">
        <color rgb="FFCCCCCC"/>
      </top>
      <bottom/>
      <diagonal/>
    </border>
    <border>
      <left/>
      <right/>
      <top style="thin">
        <color indexed="22"/>
      </top>
      <bottom/>
      <diagonal/>
    </border>
    <border>
      <left style="thin">
        <color indexed="22"/>
      </left>
      <right/>
      <top style="thin">
        <color indexed="22"/>
      </top>
      <bottom/>
      <diagonal/>
    </border>
    <border>
      <left style="thin">
        <color indexed="22"/>
      </left>
      <right style="thin">
        <color indexed="22"/>
      </right>
      <top style="thin">
        <color indexed="22"/>
      </top>
      <bottom/>
      <diagonal/>
    </border>
    <border>
      <left/>
      <right/>
      <top/>
      <bottom style="thin">
        <color indexed="22"/>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style="thin">
        <color indexed="22"/>
      </right>
      <top/>
      <bottom style="thin">
        <color indexed="22"/>
      </bottom>
      <diagonal/>
    </border>
    <border>
      <left/>
      <right style="thin">
        <color indexed="22"/>
      </right>
      <top style="thin">
        <color indexed="22"/>
      </top>
      <bottom/>
      <diagonal/>
    </border>
  </borders>
  <cellStyleXfs count="1">
    <xf numFmtId="0" fontId="0" fillId="0" borderId="0"/>
  </cellStyleXfs>
  <cellXfs count="196">
    <xf numFmtId="0" fontId="0" fillId="0" borderId="0" xfId="0"/>
    <xf numFmtId="0" fontId="1" fillId="2" borderId="1" xfId="0" applyFont="1" applyFill="1" applyBorder="1" applyAlignment="1">
      <alignment vertical="center" wrapText="1"/>
    </xf>
    <xf numFmtId="0" fontId="1" fillId="0" borderId="0" xfId="0" applyFont="1" applyAlignment="1">
      <alignment vertical="center" wrapText="1"/>
    </xf>
    <xf numFmtId="0" fontId="1" fillId="0" borderId="0" xfId="0" applyFont="1"/>
    <xf numFmtId="0" fontId="2" fillId="2" borderId="1" xfId="0" applyFont="1" applyFill="1" applyBorder="1" applyAlignment="1">
      <alignment horizontal="left" vertical="center" wrapText="1"/>
    </xf>
    <xf numFmtId="0" fontId="5" fillId="2" borderId="1" xfId="0" applyFont="1" applyFill="1" applyBorder="1" applyAlignment="1">
      <alignment vertical="center" wrapText="1"/>
    </xf>
    <xf numFmtId="0" fontId="5" fillId="0" borderId="4" xfId="0" applyFont="1" applyBorder="1" applyAlignment="1">
      <alignment vertical="center" wrapText="1"/>
    </xf>
    <xf numFmtId="0" fontId="1" fillId="0" borderId="5" xfId="0" applyFont="1" applyBorder="1" applyAlignment="1">
      <alignment vertical="center" wrapText="1"/>
    </xf>
    <xf numFmtId="0" fontId="1" fillId="4" borderId="1" xfId="0" applyFont="1" applyFill="1" applyBorder="1"/>
    <xf numFmtId="0" fontId="6" fillId="2" borderId="1" xfId="0" applyFont="1" applyFill="1" applyBorder="1" applyAlignment="1">
      <alignment vertical="center" wrapText="1"/>
    </xf>
    <xf numFmtId="0" fontId="7" fillId="0" borderId="4" xfId="0" applyFont="1" applyBorder="1" applyAlignment="1">
      <alignment vertical="center" wrapText="1"/>
    </xf>
    <xf numFmtId="0" fontId="8" fillId="0" borderId="5" xfId="0" applyFont="1" applyBorder="1" applyAlignment="1">
      <alignment vertical="center" wrapText="1"/>
    </xf>
    <xf numFmtId="0" fontId="6" fillId="2" borderId="1" xfId="0" applyFont="1" applyFill="1" applyBorder="1" applyAlignment="1">
      <alignment horizontal="left" vertical="center" wrapText="1"/>
    </xf>
    <xf numFmtId="0" fontId="7" fillId="0" borderId="4" xfId="0" applyFont="1" applyBorder="1" applyAlignment="1">
      <alignment horizontal="left" vertical="center" wrapText="1"/>
    </xf>
    <xf numFmtId="0" fontId="8" fillId="0" borderId="5" xfId="0" applyFont="1" applyBorder="1" applyAlignment="1">
      <alignment horizontal="left" vertical="center" wrapText="1"/>
    </xf>
    <xf numFmtId="0" fontId="7" fillId="0" borderId="4" xfId="0" applyFont="1" applyBorder="1" applyAlignment="1">
      <alignment wrapText="1"/>
    </xf>
    <xf numFmtId="0" fontId="6" fillId="0" borderId="5" xfId="0" applyFont="1" applyBorder="1" applyAlignment="1">
      <alignment wrapText="1"/>
    </xf>
    <xf numFmtId="0" fontId="9" fillId="4" borderId="1" xfId="0" applyFont="1" applyFill="1" applyBorder="1" applyAlignment="1">
      <alignment vertical="center" wrapText="1"/>
    </xf>
    <xf numFmtId="0" fontId="10" fillId="4" borderId="6" xfId="0" applyFont="1" applyFill="1" applyBorder="1" applyAlignment="1">
      <alignment vertical="center" wrapText="1"/>
    </xf>
    <xf numFmtId="1" fontId="11" fillId="4" borderId="7" xfId="0" applyNumberFormat="1" applyFont="1" applyFill="1" applyBorder="1" applyAlignment="1">
      <alignment horizontal="right" vertical="center" wrapText="1"/>
    </xf>
    <xf numFmtId="0" fontId="1" fillId="4" borderId="1" xfId="0" applyFont="1" applyFill="1" applyBorder="1" applyAlignment="1">
      <alignment vertical="center" wrapText="1"/>
    </xf>
    <xf numFmtId="164" fontId="11" fillId="4" borderId="7" xfId="0" applyNumberFormat="1" applyFont="1" applyFill="1" applyBorder="1" applyAlignment="1">
      <alignment horizontal="right" vertical="center" wrapText="1"/>
    </xf>
    <xf numFmtId="0" fontId="9" fillId="4" borderId="8" xfId="0" applyFont="1" applyFill="1" applyBorder="1" applyAlignment="1">
      <alignment vertical="center" wrapText="1"/>
    </xf>
    <xf numFmtId="165" fontId="12" fillId="4" borderId="9" xfId="0" applyNumberFormat="1" applyFont="1" applyFill="1" applyBorder="1" applyAlignment="1">
      <alignment horizontal="right" vertical="center" wrapText="1"/>
    </xf>
    <xf numFmtId="0" fontId="13" fillId="4" borderId="1" xfId="0" applyFont="1" applyFill="1" applyBorder="1"/>
    <xf numFmtId="0" fontId="14" fillId="2" borderId="1" xfId="0" applyFont="1" applyFill="1" applyBorder="1" applyAlignment="1">
      <alignment vertical="center" wrapText="1"/>
    </xf>
    <xf numFmtId="0" fontId="9" fillId="2" borderId="1" xfId="0" applyFont="1" applyFill="1" applyBorder="1" applyAlignment="1">
      <alignment vertical="center" wrapText="1"/>
    </xf>
    <xf numFmtId="0" fontId="9" fillId="5" borderId="14" xfId="0" applyFont="1" applyFill="1" applyBorder="1" applyAlignment="1">
      <alignment vertical="center" wrapText="1"/>
    </xf>
    <xf numFmtId="0" fontId="9" fillId="5" borderId="15" xfId="0" applyFont="1" applyFill="1" applyBorder="1" applyAlignment="1">
      <alignment horizontal="left" vertical="center" wrapText="1"/>
    </xf>
    <xf numFmtId="0" fontId="10" fillId="5" borderId="16" xfId="0" applyFont="1" applyFill="1" applyBorder="1" applyAlignment="1">
      <alignment horizontal="left" vertical="center" wrapText="1"/>
    </xf>
    <xf numFmtId="0" fontId="16" fillId="2" borderId="1" xfId="0" applyFont="1" applyFill="1" applyBorder="1" applyAlignment="1">
      <alignment vertical="top" wrapText="1"/>
    </xf>
    <xf numFmtId="0" fontId="16" fillId="4" borderId="17" xfId="0" applyFont="1" applyFill="1" applyBorder="1" applyAlignment="1">
      <alignment vertical="top" wrapText="1"/>
    </xf>
    <xf numFmtId="0" fontId="16" fillId="2" borderId="1" xfId="0" applyFont="1" applyFill="1" applyBorder="1" applyAlignment="1">
      <alignment horizontal="left" vertical="top" wrapText="1"/>
    </xf>
    <xf numFmtId="0" fontId="16" fillId="4" borderId="17" xfId="0" applyFont="1" applyFill="1" applyBorder="1" applyAlignment="1">
      <alignment horizontal="left" vertical="top" wrapText="1"/>
    </xf>
    <xf numFmtId="0" fontId="5" fillId="0" borderId="0" xfId="0" applyFont="1" applyAlignment="1">
      <alignment vertical="center" wrapText="1"/>
    </xf>
    <xf numFmtId="0" fontId="1" fillId="2" borderId="1" xfId="0" applyFont="1" applyFill="1" applyBorder="1"/>
    <xf numFmtId="0" fontId="18" fillId="4" borderId="1" xfId="0" applyFont="1" applyFill="1" applyBorder="1" applyAlignment="1">
      <alignment vertical="top"/>
    </xf>
    <xf numFmtId="0" fontId="18" fillId="0" borderId="0" xfId="0" applyFont="1" applyAlignment="1">
      <alignment vertical="top"/>
    </xf>
    <xf numFmtId="3" fontId="18" fillId="0" borderId="0" xfId="0" applyNumberFormat="1" applyFont="1" applyAlignment="1">
      <alignment vertical="top"/>
    </xf>
    <xf numFmtId="0" fontId="18" fillId="0" borderId="0" xfId="0" applyFont="1"/>
    <xf numFmtId="0" fontId="20" fillId="6" borderId="21" xfId="0" applyFont="1" applyFill="1" applyBorder="1" applyAlignment="1">
      <alignment vertical="center" wrapText="1"/>
    </xf>
    <xf numFmtId="3" fontId="20" fillId="6" borderId="21" xfId="0" applyNumberFormat="1" applyFont="1" applyFill="1" applyBorder="1" applyAlignment="1">
      <alignment horizontal="right" vertical="center" wrapText="1"/>
    </xf>
    <xf numFmtId="0" fontId="21" fillId="0" borderId="0" xfId="0" applyFont="1" applyAlignment="1">
      <alignment vertical="top"/>
    </xf>
    <xf numFmtId="0" fontId="18" fillId="4" borderId="21" xfId="0" applyFont="1" applyFill="1" applyBorder="1" applyAlignment="1">
      <alignment vertical="top"/>
    </xf>
    <xf numFmtId="0" fontId="6" fillId="4" borderId="21" xfId="0" applyFont="1" applyFill="1" applyBorder="1" applyAlignment="1">
      <alignment vertical="top"/>
    </xf>
    <xf numFmtId="0" fontId="6" fillId="4" borderId="21" xfId="0" applyFont="1" applyFill="1" applyBorder="1" applyAlignment="1">
      <alignment horizontal="right" vertical="top"/>
    </xf>
    <xf numFmtId="164" fontId="18" fillId="4" borderId="1" xfId="0" applyNumberFormat="1" applyFont="1" applyFill="1" applyBorder="1" applyAlignment="1">
      <alignment vertical="top"/>
    </xf>
    <xf numFmtId="49" fontId="18" fillId="4" borderId="1" xfId="0" applyNumberFormat="1" applyFont="1" applyFill="1" applyBorder="1" applyAlignment="1">
      <alignment vertical="top"/>
    </xf>
    <xf numFmtId="49" fontId="18" fillId="4" borderId="21" xfId="0" applyNumberFormat="1" applyFont="1" applyFill="1" applyBorder="1" applyAlignment="1">
      <alignment vertical="top"/>
    </xf>
    <xf numFmtId="4" fontId="18" fillId="4" borderId="21" xfId="0" applyNumberFormat="1" applyFont="1" applyFill="1" applyBorder="1" applyAlignment="1">
      <alignment vertical="top"/>
    </xf>
    <xf numFmtId="164" fontId="18" fillId="4" borderId="21" xfId="0" applyNumberFormat="1" applyFont="1" applyFill="1" applyBorder="1" applyAlignment="1">
      <alignment vertical="top"/>
    </xf>
    <xf numFmtId="0" fontId="20" fillId="7" borderId="21" xfId="0" applyFont="1" applyFill="1" applyBorder="1" applyAlignment="1">
      <alignment vertical="top"/>
    </xf>
    <xf numFmtId="0" fontId="22" fillId="7" borderId="21" xfId="0" applyFont="1" applyFill="1" applyBorder="1" applyAlignment="1">
      <alignment vertical="top" wrapText="1"/>
    </xf>
    <xf numFmtId="164" fontId="20" fillId="7" borderId="21" xfId="0" applyNumberFormat="1" applyFont="1" applyFill="1" applyBorder="1" applyAlignment="1">
      <alignment horizontal="right"/>
    </xf>
    <xf numFmtId="164" fontId="23" fillId="7" borderId="21" xfId="0" applyNumberFormat="1" applyFont="1" applyFill="1" applyBorder="1" applyAlignment="1">
      <alignment horizontal="right"/>
    </xf>
    <xf numFmtId="49" fontId="7" fillId="4" borderId="21" xfId="0" applyNumberFormat="1" applyFont="1" applyFill="1" applyBorder="1" applyAlignment="1">
      <alignment vertical="top"/>
    </xf>
    <xf numFmtId="4" fontId="7" fillId="4" borderId="21" xfId="0" applyNumberFormat="1" applyFont="1" applyFill="1" applyBorder="1" applyAlignment="1">
      <alignment vertical="top" wrapText="1"/>
    </xf>
    <xf numFmtId="164" fontId="7" fillId="4" borderId="21" xfId="0" applyNumberFormat="1" applyFont="1" applyFill="1" applyBorder="1" applyAlignment="1">
      <alignment horizontal="right" vertical="top"/>
    </xf>
    <xf numFmtId="4" fontId="7" fillId="4" borderId="21" xfId="0" applyNumberFormat="1" applyFont="1" applyFill="1" applyBorder="1" applyAlignment="1">
      <alignment vertical="top"/>
    </xf>
    <xf numFmtId="164" fontId="7" fillId="4" borderId="21" xfId="0" applyNumberFormat="1" applyFont="1" applyFill="1" applyBorder="1" applyAlignment="1">
      <alignment horizontal="right"/>
    </xf>
    <xf numFmtId="49" fontId="24" fillId="4" borderId="0" xfId="0" applyNumberFormat="1" applyFont="1" applyFill="1" applyAlignment="1">
      <alignment vertical="top"/>
    </xf>
    <xf numFmtId="49" fontId="7" fillId="4" borderId="22" xfId="0" applyNumberFormat="1" applyFont="1" applyFill="1" applyBorder="1" applyAlignment="1">
      <alignment vertical="top"/>
    </xf>
    <xf numFmtId="164" fontId="7" fillId="4" borderId="22" xfId="0" applyNumberFormat="1" applyFont="1" applyFill="1" applyBorder="1" applyAlignment="1">
      <alignment horizontal="right"/>
    </xf>
    <xf numFmtId="164" fontId="7" fillId="4" borderId="22" xfId="0" applyNumberFormat="1" applyFont="1" applyFill="1" applyBorder="1" applyAlignment="1">
      <alignment horizontal="right" vertical="top"/>
    </xf>
    <xf numFmtId="164" fontId="7" fillId="4" borderId="23" xfId="0" applyNumberFormat="1" applyFont="1" applyFill="1" applyBorder="1" applyAlignment="1">
      <alignment horizontal="right" vertical="top"/>
    </xf>
    <xf numFmtId="164" fontId="24" fillId="4" borderId="0" xfId="0" applyNumberFormat="1" applyFont="1" applyFill="1" applyAlignment="1">
      <alignment vertical="top"/>
    </xf>
    <xf numFmtId="0" fontId="24" fillId="0" borderId="0" xfId="0" applyFont="1"/>
    <xf numFmtId="49" fontId="7" fillId="0" borderId="21" xfId="0" applyNumberFormat="1" applyFont="1" applyBorder="1" applyAlignment="1">
      <alignment vertical="top"/>
    </xf>
    <xf numFmtId="166" fontId="18" fillId="4" borderId="21" xfId="0" applyNumberFormat="1" applyFont="1" applyFill="1" applyBorder="1" applyAlignment="1">
      <alignment vertical="top"/>
    </xf>
    <xf numFmtId="0" fontId="25" fillId="4" borderId="1" xfId="0" applyFont="1" applyFill="1" applyBorder="1" applyAlignment="1">
      <alignment vertical="top"/>
    </xf>
    <xf numFmtId="49" fontId="6" fillId="0" borderId="21" xfId="0" applyNumberFormat="1" applyFont="1" applyBorder="1" applyAlignment="1">
      <alignment vertical="top"/>
    </xf>
    <xf numFmtId="0" fontId="8" fillId="0" borderId="21" xfId="0" applyFont="1" applyBorder="1" applyAlignment="1">
      <alignment vertical="top" wrapText="1"/>
    </xf>
    <xf numFmtId="164" fontId="6" fillId="0" borderId="21" xfId="0" applyNumberFormat="1" applyFont="1" applyBorder="1" applyAlignment="1">
      <alignment horizontal="right" vertical="top"/>
    </xf>
    <xf numFmtId="164" fontId="25" fillId="4" borderId="1" xfId="0" applyNumberFormat="1" applyFont="1" applyFill="1" applyBorder="1" applyAlignment="1">
      <alignment vertical="top"/>
    </xf>
    <xf numFmtId="0" fontId="25" fillId="0" borderId="0" xfId="0" applyFont="1"/>
    <xf numFmtId="0" fontId="5" fillId="0" borderId="0" xfId="0" applyFont="1"/>
    <xf numFmtId="0" fontId="26" fillId="0" borderId="0" xfId="0" applyFont="1"/>
    <xf numFmtId="0" fontId="25" fillId="0" borderId="0" xfId="0" applyFont="1" applyAlignment="1">
      <alignment vertical="top"/>
    </xf>
    <xf numFmtId="164" fontId="20" fillId="7" borderId="21" xfId="0" applyNumberFormat="1" applyFont="1" applyFill="1" applyBorder="1" applyAlignment="1">
      <alignment horizontal="right" vertical="top"/>
    </xf>
    <xf numFmtId="164" fontId="27" fillId="7" borderId="21" xfId="0" applyNumberFormat="1" applyFont="1" applyFill="1" applyBorder="1" applyAlignment="1">
      <alignment horizontal="right" vertical="top"/>
    </xf>
    <xf numFmtId="0" fontId="7" fillId="4" borderId="21" xfId="0" applyFont="1" applyFill="1" applyBorder="1" applyAlignment="1">
      <alignment vertical="top"/>
    </xf>
    <xf numFmtId="0" fontId="18" fillId="0" borderId="21" xfId="0" applyFont="1" applyBorder="1" applyAlignment="1">
      <alignment vertical="top"/>
    </xf>
    <xf numFmtId="4" fontId="7" fillId="4" borderId="21" xfId="0" applyNumberFormat="1" applyFont="1" applyFill="1" applyBorder="1" applyAlignment="1">
      <alignment horizontal="right" vertical="top"/>
    </xf>
    <xf numFmtId="4" fontId="28" fillId="4" borderId="0" xfId="0" applyNumberFormat="1" applyFont="1" applyFill="1" applyAlignment="1">
      <alignment horizontal="right" vertical="top"/>
    </xf>
    <xf numFmtId="4" fontId="28" fillId="4" borderId="21" xfId="0" applyNumberFormat="1" applyFont="1" applyFill="1" applyBorder="1" applyAlignment="1">
      <alignment vertical="top"/>
    </xf>
    <xf numFmtId="0" fontId="1" fillId="2" borderId="24" xfId="0" applyFont="1" applyFill="1" applyBorder="1" applyAlignment="1">
      <alignment horizontal="left" vertical="top" wrapText="1"/>
    </xf>
    <xf numFmtId="4" fontId="20" fillId="7" borderId="21" xfId="0" applyNumberFormat="1" applyFont="1" applyFill="1" applyBorder="1" applyAlignment="1">
      <alignment horizontal="right" vertical="top"/>
    </xf>
    <xf numFmtId="0" fontId="28" fillId="4" borderId="21" xfId="0" applyFont="1" applyFill="1" applyBorder="1" applyAlignment="1">
      <alignment vertical="top" wrapText="1"/>
    </xf>
    <xf numFmtId="164" fontId="7" fillId="0" borderId="21" xfId="0" applyNumberFormat="1" applyFont="1" applyBorder="1" applyAlignment="1">
      <alignment horizontal="right"/>
    </xf>
    <xf numFmtId="0" fontId="20" fillId="7" borderId="21" xfId="0" applyFont="1" applyFill="1" applyBorder="1" applyAlignment="1">
      <alignment vertical="top" wrapText="1"/>
    </xf>
    <xf numFmtId="164" fontId="20" fillId="4" borderId="25" xfId="0" applyNumberFormat="1" applyFont="1" applyFill="1" applyBorder="1" applyAlignment="1">
      <alignment horizontal="right" vertical="top"/>
    </xf>
    <xf numFmtId="4" fontId="7" fillId="4" borderId="25" xfId="0" applyNumberFormat="1" applyFont="1" applyFill="1" applyBorder="1" applyAlignment="1">
      <alignment horizontal="right" vertical="top"/>
    </xf>
    <xf numFmtId="164" fontId="23" fillId="7" borderId="21" xfId="0" applyNumberFormat="1" applyFont="1" applyFill="1" applyBorder="1" applyAlignment="1">
      <alignment horizontal="right" vertical="top"/>
    </xf>
    <xf numFmtId="0" fontId="7" fillId="4" borderId="21" xfId="0" applyFont="1" applyFill="1" applyBorder="1"/>
    <xf numFmtId="49" fontId="18" fillId="0" borderId="21" xfId="0" applyNumberFormat="1" applyFont="1" applyBorder="1" applyAlignment="1">
      <alignment vertical="top"/>
    </xf>
    <xf numFmtId="0" fontId="20" fillId="5" borderId="21" xfId="0" applyFont="1" applyFill="1" applyBorder="1" applyAlignment="1">
      <alignment vertical="top"/>
    </xf>
    <xf numFmtId="0" fontId="22" fillId="5" borderId="21" xfId="0" applyFont="1" applyFill="1" applyBorder="1" applyAlignment="1">
      <alignment vertical="top" wrapText="1"/>
    </xf>
    <xf numFmtId="164" fontId="20" fillId="5" borderId="21" xfId="0" applyNumberFormat="1" applyFont="1" applyFill="1" applyBorder="1" applyAlignment="1">
      <alignment horizontal="right" vertical="top"/>
    </xf>
    <xf numFmtId="164" fontId="29" fillId="5" borderId="21" xfId="0" applyNumberFormat="1" applyFont="1" applyFill="1" applyBorder="1" applyAlignment="1">
      <alignment horizontal="right" vertical="top"/>
    </xf>
    <xf numFmtId="165" fontId="18" fillId="4" borderId="21" xfId="0" applyNumberFormat="1" applyFont="1" applyFill="1" applyBorder="1" applyAlignment="1">
      <alignment vertical="top"/>
    </xf>
    <xf numFmtId="0" fontId="18" fillId="5" borderId="21" xfId="0" applyFont="1" applyFill="1" applyBorder="1" applyAlignment="1">
      <alignment vertical="top"/>
    </xf>
    <xf numFmtId="165" fontId="18" fillId="5" borderId="21" xfId="0" applyNumberFormat="1" applyFont="1" applyFill="1" applyBorder="1" applyAlignment="1">
      <alignment vertical="top"/>
    </xf>
    <xf numFmtId="0" fontId="10" fillId="4" borderId="21" xfId="0" applyFont="1" applyFill="1" applyBorder="1" applyAlignment="1">
      <alignment vertical="top" wrapText="1"/>
    </xf>
    <xf numFmtId="164" fontId="9" fillId="4" borderId="21" xfId="0" applyNumberFormat="1" applyFont="1" applyFill="1" applyBorder="1" applyAlignment="1">
      <alignment horizontal="right" vertical="top"/>
    </xf>
    <xf numFmtId="164" fontId="10" fillId="4" borderId="21" xfId="0" applyNumberFormat="1" applyFont="1" applyFill="1" applyBorder="1" applyAlignment="1">
      <alignment horizontal="right" vertical="top"/>
    </xf>
    <xf numFmtId="49" fontId="18" fillId="0" borderId="0" xfId="0" applyNumberFormat="1" applyFont="1" applyAlignment="1">
      <alignment vertical="top"/>
    </xf>
    <xf numFmtId="167" fontId="18" fillId="4" borderId="1" xfId="0" applyNumberFormat="1" applyFont="1" applyFill="1" applyBorder="1" applyAlignment="1">
      <alignment vertical="top"/>
    </xf>
    <xf numFmtId="0" fontId="18" fillId="4" borderId="1" xfId="0" applyFont="1" applyFill="1" applyBorder="1"/>
    <xf numFmtId="167" fontId="18" fillId="4" borderId="1" xfId="0" applyNumberFormat="1" applyFont="1" applyFill="1" applyBorder="1"/>
    <xf numFmtId="164" fontId="18" fillId="4" borderId="1" xfId="0" applyNumberFormat="1" applyFont="1" applyFill="1" applyBorder="1"/>
    <xf numFmtId="3" fontId="18" fillId="4" borderId="1" xfId="0" applyNumberFormat="1" applyFont="1" applyFill="1" applyBorder="1" applyAlignment="1">
      <alignment vertical="top"/>
    </xf>
    <xf numFmtId="0" fontId="6" fillId="5" borderId="31" xfId="0" applyFont="1" applyFill="1" applyBorder="1" applyAlignment="1">
      <alignment horizontal="center" vertical="top" wrapText="1"/>
    </xf>
    <xf numFmtId="0" fontId="6" fillId="5" borderId="32" xfId="0" applyFont="1" applyFill="1" applyBorder="1" applyAlignment="1">
      <alignment horizontal="center" vertical="top" wrapText="1"/>
    </xf>
    <xf numFmtId="168" fontId="6" fillId="5" borderId="32" xfId="0" applyNumberFormat="1" applyFont="1" applyFill="1" applyBorder="1" applyAlignment="1">
      <alignment horizontal="center" vertical="top" wrapText="1"/>
    </xf>
    <xf numFmtId="4" fontId="6" fillId="5" borderId="32" xfId="0" applyNumberFormat="1" applyFont="1" applyFill="1" applyBorder="1" applyAlignment="1">
      <alignment horizontal="center" vertical="top" wrapText="1"/>
    </xf>
    <xf numFmtId="4" fontId="6" fillId="5" borderId="32" xfId="0" applyNumberFormat="1" applyFont="1" applyFill="1" applyBorder="1" applyAlignment="1">
      <alignment horizontal="left" vertical="top" wrapText="1"/>
    </xf>
    <xf numFmtId="4" fontId="6" fillId="5" borderId="33" xfId="0" applyNumberFormat="1" applyFont="1" applyFill="1" applyBorder="1" applyAlignment="1">
      <alignment horizontal="center" vertical="top" wrapText="1"/>
    </xf>
    <xf numFmtId="4" fontId="6" fillId="5" borderId="31" xfId="0" applyNumberFormat="1" applyFont="1" applyFill="1" applyBorder="1" applyAlignment="1">
      <alignment horizontal="center" vertical="top" wrapText="1"/>
    </xf>
    <xf numFmtId="4" fontId="6" fillId="5" borderId="0" xfId="0" applyNumberFormat="1" applyFont="1" applyFill="1" applyAlignment="1">
      <alignment horizontal="center" vertical="top" wrapText="1"/>
    </xf>
    <xf numFmtId="0" fontId="20" fillId="9" borderId="1" xfId="0" applyFont="1" applyFill="1" applyBorder="1" applyAlignment="1">
      <alignment horizontal="center" vertical="top" wrapText="1"/>
    </xf>
    <xf numFmtId="4" fontId="6" fillId="10" borderId="34" xfId="0" applyNumberFormat="1" applyFont="1" applyFill="1" applyBorder="1" applyAlignment="1">
      <alignment horizontal="center" vertical="top" wrapText="1"/>
    </xf>
    <xf numFmtId="4" fontId="6" fillId="8" borderId="32" xfId="0" applyNumberFormat="1" applyFont="1" applyFill="1" applyBorder="1" applyAlignment="1">
      <alignment horizontal="center" vertical="top" wrapText="1"/>
    </xf>
    <xf numFmtId="0" fontId="20" fillId="9" borderId="30" xfId="0" applyFont="1" applyFill="1" applyBorder="1" applyAlignment="1">
      <alignment horizontal="center" vertical="top" wrapText="1"/>
    </xf>
    <xf numFmtId="4" fontId="31" fillId="9" borderId="26" xfId="0" applyNumberFormat="1" applyFont="1" applyFill="1" applyBorder="1" applyAlignment="1">
      <alignment horizontal="center" vertical="top" wrapText="1"/>
    </xf>
    <xf numFmtId="4" fontId="6" fillId="5" borderId="28" xfId="0" applyNumberFormat="1" applyFont="1" applyFill="1" applyBorder="1" applyAlignment="1">
      <alignment horizontal="center" vertical="top" wrapText="1"/>
    </xf>
    <xf numFmtId="4" fontId="6" fillId="5" borderId="29" xfId="0" applyNumberFormat="1" applyFont="1" applyFill="1" applyBorder="1" applyAlignment="1">
      <alignment horizontal="center" vertical="top" wrapText="1"/>
    </xf>
    <xf numFmtId="4" fontId="6" fillId="5" borderId="35" xfId="0" applyNumberFormat="1" applyFont="1" applyFill="1" applyBorder="1" applyAlignment="1">
      <alignment horizontal="center" vertical="top" wrapText="1"/>
    </xf>
    <xf numFmtId="4" fontId="31" fillId="8" borderId="27" xfId="0" applyNumberFormat="1" applyFont="1" applyFill="1" applyBorder="1" applyAlignment="1">
      <alignment horizontal="center" vertical="top" wrapText="1"/>
    </xf>
    <xf numFmtId="0" fontId="28" fillId="0" borderId="0" xfId="0" applyFont="1"/>
    <xf numFmtId="0" fontId="28" fillId="0" borderId="0" xfId="0" applyFont="1" applyAlignment="1">
      <alignment horizontal="left" vertical="top"/>
    </xf>
    <xf numFmtId="0" fontId="28" fillId="4" borderId="1" xfId="0" applyFont="1" applyFill="1" applyBorder="1"/>
    <xf numFmtId="0" fontId="28" fillId="0" borderId="0" xfId="0" applyFont="1" applyAlignment="1">
      <alignment horizontal="left"/>
    </xf>
    <xf numFmtId="0" fontId="19" fillId="2" borderId="1" xfId="0" applyFont="1" applyFill="1" applyBorder="1" applyAlignment="1">
      <alignment horizontal="left" vertical="top"/>
    </xf>
    <xf numFmtId="0" fontId="30" fillId="2" borderId="1" xfId="0" applyFont="1" applyFill="1" applyBorder="1" applyAlignment="1">
      <alignment vertical="top"/>
    </xf>
    <xf numFmtId="0" fontId="30" fillId="0" borderId="39" xfId="0" applyFont="1" applyBorder="1" applyAlignment="1">
      <alignment horizontal="left" vertical="top" wrapText="1"/>
    </xf>
    <xf numFmtId="0" fontId="21" fillId="0" borderId="40" xfId="0" applyFont="1" applyBorder="1" applyAlignment="1">
      <alignment horizontal="left" vertical="top"/>
    </xf>
    <xf numFmtId="0" fontId="32" fillId="0" borderId="40" xfId="0" applyFont="1" applyBorder="1" applyAlignment="1">
      <alignment horizontal="left" vertical="top"/>
    </xf>
    <xf numFmtId="0" fontId="1" fillId="0" borderId="40" xfId="0" applyFont="1" applyBorder="1" applyAlignment="1">
      <alignment horizontal="left" vertical="top"/>
    </xf>
    <xf numFmtId="0" fontId="21" fillId="0" borderId="40" xfId="0" applyFont="1" applyBorder="1" applyAlignment="1">
      <alignment horizontal="right" vertical="top"/>
    </xf>
    <xf numFmtId="0" fontId="21" fillId="4" borderId="41" xfId="0" applyFont="1" applyFill="1" applyBorder="1" applyAlignment="1">
      <alignment horizontal="right" vertical="top"/>
    </xf>
    <xf numFmtId="0" fontId="21" fillId="0" borderId="42" xfId="0" applyFont="1" applyBorder="1" applyAlignment="1">
      <alignment horizontal="right" vertical="top"/>
    </xf>
    <xf numFmtId="0" fontId="21" fillId="0" borderId="0" xfId="0" applyFont="1"/>
    <xf numFmtId="0" fontId="30" fillId="0" borderId="43" xfId="0" applyFont="1" applyBorder="1" applyAlignment="1">
      <alignment vertical="top"/>
    </xf>
    <xf numFmtId="0" fontId="8" fillId="4" borderId="1" xfId="0" applyFont="1" applyFill="1" applyBorder="1" applyAlignment="1">
      <alignment vertical="top" wrapText="1"/>
    </xf>
    <xf numFmtId="0" fontId="21" fillId="0" borderId="44" xfId="0" applyFont="1" applyBorder="1"/>
    <xf numFmtId="0" fontId="8" fillId="4" borderId="45" xfId="0" applyFont="1" applyFill="1" applyBorder="1" applyAlignment="1">
      <alignment vertical="top" wrapText="1"/>
    </xf>
    <xf numFmtId="0" fontId="8" fillId="5" borderId="46" xfId="0" applyFont="1" applyFill="1" applyBorder="1" applyAlignment="1">
      <alignment vertical="top" wrapText="1"/>
    </xf>
    <xf numFmtId="0" fontId="8" fillId="5" borderId="46" xfId="0" applyFont="1" applyFill="1" applyBorder="1" applyAlignment="1">
      <alignment horizontal="center" vertical="top" wrapText="1"/>
    </xf>
    <xf numFmtId="4" fontId="8" fillId="5" borderId="46" xfId="0" applyNumberFormat="1" applyFont="1" applyFill="1" applyBorder="1" applyAlignment="1">
      <alignment horizontal="center" vertical="top" wrapText="1"/>
    </xf>
    <xf numFmtId="0" fontId="28" fillId="0" borderId="46" xfId="0" applyFont="1" applyBorder="1" applyAlignment="1">
      <alignment vertical="top"/>
    </xf>
    <xf numFmtId="0" fontId="28" fillId="0" borderId="46" xfId="0" applyFont="1" applyBorder="1" applyAlignment="1">
      <alignment horizontal="center" vertical="top"/>
    </xf>
    <xf numFmtId="169" fontId="28" fillId="0" borderId="46" xfId="0" applyNumberFormat="1" applyFont="1" applyBorder="1" applyAlignment="1">
      <alignment horizontal="center" vertical="top"/>
    </xf>
    <xf numFmtId="170" fontId="28" fillId="0" borderId="46" xfId="0" applyNumberFormat="1" applyFont="1" applyBorder="1" applyAlignment="1">
      <alignment horizontal="center" vertical="top"/>
    </xf>
    <xf numFmtId="0" fontId="7" fillId="0" borderId="0" xfId="0" applyFont="1" applyAlignment="1">
      <alignment horizontal="center" vertical="top" wrapText="1"/>
    </xf>
    <xf numFmtId="0" fontId="1" fillId="0" borderId="0" xfId="0" applyFont="1" applyAlignment="1">
      <alignment wrapText="1"/>
    </xf>
    <xf numFmtId="0" fontId="30" fillId="0" borderId="0" xfId="0" applyFont="1" applyAlignment="1">
      <alignment vertical="top"/>
    </xf>
    <xf numFmtId="0" fontId="34" fillId="0" borderId="0" xfId="0" applyFont="1" applyAlignment="1">
      <alignment horizontal="center" vertical="top" wrapText="1"/>
    </xf>
    <xf numFmtId="0" fontId="35" fillId="5" borderId="24" xfId="0" applyFont="1" applyFill="1" applyBorder="1" applyAlignment="1">
      <alignment horizontal="center" vertical="top" wrapText="1"/>
    </xf>
    <xf numFmtId="0" fontId="20" fillId="5" borderId="24" xfId="0" applyFont="1" applyFill="1" applyBorder="1" applyAlignment="1">
      <alignment horizontal="left" vertical="top" wrapText="1"/>
    </xf>
    <xf numFmtId="0" fontId="1" fillId="2" borderId="24" xfId="0" applyFont="1" applyFill="1" applyBorder="1" applyAlignment="1">
      <alignment horizontal="center" vertical="top" wrapText="1"/>
    </xf>
    <xf numFmtId="49" fontId="1" fillId="2" borderId="24" xfId="0" applyNumberFormat="1" applyFont="1" applyFill="1" applyBorder="1" applyAlignment="1">
      <alignment horizontal="left" vertical="top" wrapText="1"/>
    </xf>
    <xf numFmtId="0" fontId="7" fillId="0" borderId="0" xfId="0" applyFont="1" applyAlignment="1">
      <alignment horizontal="left" vertical="top" wrapText="1"/>
    </xf>
    <xf numFmtId="0" fontId="37" fillId="12" borderId="0" xfId="0" applyFont="1" applyFill="1"/>
    <xf numFmtId="171" fontId="38" fillId="13" borderId="52" xfId="0" applyNumberFormat="1" applyFont="1" applyFill="1" applyBorder="1"/>
    <xf numFmtId="0" fontId="40" fillId="0" borderId="0" xfId="0" applyFont="1"/>
    <xf numFmtId="0" fontId="41" fillId="0" borderId="0" xfId="0" applyFont="1"/>
    <xf numFmtId="0" fontId="37" fillId="12" borderId="53" xfId="0" applyFont="1" applyFill="1" applyBorder="1"/>
    <xf numFmtId="0" fontId="37" fillId="12" borderId="54" xfId="0" applyFont="1" applyFill="1" applyBorder="1"/>
    <xf numFmtId="0" fontId="38" fillId="13" borderId="55" xfId="0" applyFont="1" applyFill="1" applyBorder="1"/>
    <xf numFmtId="171" fontId="38" fillId="13" borderId="56" xfId="0" applyNumberFormat="1" applyFont="1" applyFill="1" applyBorder="1"/>
    <xf numFmtId="0" fontId="37" fillId="12" borderId="49" xfId="0" applyFont="1" applyFill="1" applyBorder="1"/>
    <xf numFmtId="0" fontId="37" fillId="12" borderId="50" xfId="0" applyFont="1" applyFill="1" applyBorder="1"/>
    <xf numFmtId="0" fontId="37" fillId="12" borderId="57" xfId="0" applyFont="1" applyFill="1" applyBorder="1"/>
    <xf numFmtId="0" fontId="41" fillId="0" borderId="53" xfId="0" applyFont="1" applyBorder="1"/>
    <xf numFmtId="0" fontId="41" fillId="0" borderId="54" xfId="0" applyFont="1" applyBorder="1"/>
    <xf numFmtId="171" fontId="38" fillId="13" borderId="55" xfId="0" applyNumberFormat="1" applyFont="1" applyFill="1" applyBorder="1"/>
    <xf numFmtId="0" fontId="3" fillId="3" borderId="2" xfId="0" applyFont="1" applyFill="1" applyBorder="1" applyAlignment="1">
      <alignment horizontal="left" vertical="center" wrapText="1"/>
    </xf>
    <xf numFmtId="0" fontId="4" fillId="0" borderId="3" xfId="0" applyFont="1" applyBorder="1"/>
    <xf numFmtId="0" fontId="4" fillId="0" borderId="10" xfId="0" applyFont="1" applyBorder="1"/>
    <xf numFmtId="0" fontId="15" fillId="4" borderId="11" xfId="0" applyFont="1" applyFill="1" applyBorder="1" applyAlignment="1">
      <alignment vertical="center" wrapText="1"/>
    </xf>
    <xf numFmtId="0" fontId="4" fillId="0" borderId="12" xfId="0" applyFont="1" applyBorder="1"/>
    <xf numFmtId="0" fontId="4" fillId="0" borderId="13" xfId="0" applyFont="1" applyBorder="1"/>
    <xf numFmtId="0" fontId="10" fillId="4" borderId="18" xfId="0" applyFont="1" applyFill="1" applyBorder="1" applyAlignment="1">
      <alignment horizontal="left" vertical="top" wrapText="1"/>
    </xf>
    <xf numFmtId="0" fontId="4" fillId="0" borderId="19" xfId="0" applyFont="1" applyBorder="1"/>
    <xf numFmtId="49" fontId="1" fillId="0" borderId="0" xfId="0" applyNumberFormat="1" applyFont="1" applyAlignment="1">
      <alignment horizontal="center" wrapText="1"/>
    </xf>
    <xf numFmtId="0" fontId="0" fillId="0" borderId="0" xfId="0"/>
    <xf numFmtId="0" fontId="17" fillId="2" borderId="20" xfId="0" applyFont="1" applyFill="1" applyBorder="1" applyAlignment="1">
      <alignment horizontal="left" vertical="center" wrapText="1"/>
    </xf>
    <xf numFmtId="0" fontId="19" fillId="3" borderId="20" xfId="0" applyFont="1" applyFill="1" applyBorder="1" applyAlignment="1">
      <alignment vertical="top"/>
    </xf>
    <xf numFmtId="0" fontId="19" fillId="3" borderId="36" xfId="0" applyFont="1" applyFill="1" applyBorder="1" applyAlignment="1">
      <alignment horizontal="left" vertical="top"/>
    </xf>
    <xf numFmtId="0" fontId="4" fillId="0" borderId="37" xfId="0" applyFont="1" applyBorder="1"/>
    <xf numFmtId="0" fontId="4" fillId="0" borderId="38" xfId="0" applyFont="1" applyBorder="1"/>
    <xf numFmtId="0" fontId="36" fillId="11" borderId="51" xfId="0" applyFont="1" applyFill="1" applyBorder="1"/>
    <xf numFmtId="0" fontId="39" fillId="12" borderId="51" xfId="0" applyFont="1" applyFill="1" applyBorder="1"/>
    <xf numFmtId="0" fontId="3" fillId="3" borderId="36" xfId="0" applyFont="1" applyFill="1" applyBorder="1" applyAlignment="1">
      <alignment horizontal="left" vertical="center" wrapText="1"/>
    </xf>
    <xf numFmtId="0" fontId="33" fillId="3" borderId="47" xfId="0" applyFont="1" applyFill="1" applyBorder="1" applyAlignment="1">
      <alignment horizontal="center" vertical="top" wrapText="1"/>
    </xf>
    <xf numFmtId="0" fontId="4" fillId="0" borderId="48" xfId="0" applyFont="1" applyBorder="1"/>
  </cellXfs>
  <cellStyles count="1">
    <cellStyle name="Normal" xfId="0" builtinId="0"/>
  </cellStyles>
  <dxfs count="5">
    <dxf>
      <fill>
        <patternFill patternType="solid">
          <fgColor rgb="FFF3F3F3"/>
          <bgColor rgb="FFF3F3F3"/>
        </patternFill>
      </fill>
    </dxf>
    <dxf>
      <fill>
        <patternFill patternType="solid">
          <fgColor rgb="FFFFFFFF"/>
          <bgColor rgb="FFFFFFFF"/>
        </patternFill>
      </fill>
    </dxf>
    <dxf>
      <fill>
        <patternFill patternType="solid">
          <fgColor rgb="FFFDDCE8"/>
          <bgColor rgb="FFFDDCE8"/>
        </patternFill>
      </fill>
    </dxf>
    <dxf>
      <fill>
        <patternFill patternType="solid">
          <fgColor rgb="FFFFFFFF"/>
          <bgColor rgb="FFFFFFFF"/>
        </patternFill>
      </fill>
    </dxf>
    <dxf>
      <fill>
        <patternFill patternType="solid">
          <fgColor rgb="FFE91D63"/>
          <bgColor rgb="FFE91D63"/>
        </patternFill>
      </fill>
    </dxf>
  </dxfs>
  <tableStyles count="2">
    <tableStyle name="Summary-style" pivot="0" count="3" xr9:uid="{00000000-0011-0000-FFFF-FFFF00000000}">
      <tableStyleElement type="headerRow" dxfId="4"/>
      <tableStyleElement type="firstRowStripe" dxfId="3"/>
      <tableStyleElement type="secondRowStripe" dxfId="2"/>
    </tableStyle>
    <tableStyle name="Payout Breakup-style" pivot="0" count="2" xr9:uid="{00000000-0011-0000-FFFF-FFFF01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1028700</xdr:colOff>
      <xdr:row>1</xdr:row>
      <xdr:rowOff>85725</xdr:rowOff>
    </xdr:from>
    <xdr:ext cx="1495425" cy="149542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6:C18" headerRowCount="0">
  <tableColumns count="3">
    <tableColumn id="1" xr3:uid="{00000000-0010-0000-0000-000001000000}" name=""/>
    <tableColumn id="2" xr3:uid="{00000000-0010-0000-0000-000002000000}" name="Total Orders _x000a_(Delivered + Cancelled/ Rejected)"/>
    <tableColumn id="3" xr3:uid="{00000000-0010-0000-0000-000003000000}" name="'Payout Breakup'!F4"/>
  </tableColumns>
  <tableStyleInfo name="Summary-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C4:G92" headerRowCount="0">
  <tableColumns count="5">
    <tableColumn id="1" xr3:uid="{00000000-0010-0000-0100-000001000000}" name="Number of Orders"/>
    <tableColumn id="2" xr3:uid="{00000000-0010-0000-0100-000002000000}" name="IFERROR(COUNTIF('Order Level'!I:I,&quot;Delivered&quot;),0)"/>
    <tableColumn id="3" xr3:uid="{00000000-0010-0000-0100-000003000000}" name="IFERROR(COUNTIF('Order Level'!I:I,&quot;CANCELLED&quot;)+COUNTIF('Order Level'!I:I,&quot;REJECTED&quot;)+COUNTIF('Order Level'!I:I,&quot;TIMEDOUT&quot;),0)"/>
    <tableColumn id="4" xr3:uid="{00000000-0010-0000-0100-000004000000}" name="SUM(D4:E4)"/>
    <tableColumn id="5" xr3:uid="{00000000-0010-0000-0100-000005000000}" name=""/>
  </tableColumns>
  <tableStyleInfo name="Payout Breakup-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A4C2F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hyperlink" Target="http://s.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985E9"/>
    <outlinePr summaryBelow="0" summaryRight="0"/>
  </sheetPr>
  <dimension ref="A1:Z1000"/>
  <sheetViews>
    <sheetView showGridLines="0" workbookViewId="0"/>
  </sheetViews>
  <sheetFormatPr defaultColWidth="12.59765625" defaultRowHeight="15" customHeight="1"/>
  <cols>
    <col min="1" max="1" width="2.3984375" customWidth="1"/>
    <col min="2" max="2" width="30.8984375" customWidth="1"/>
    <col min="3" max="3" width="30.5" customWidth="1"/>
    <col min="4" max="4" width="35" customWidth="1"/>
    <col min="5" max="6" width="12.59765625" customWidth="1"/>
  </cols>
  <sheetData>
    <row r="1" spans="1:26" ht="15.75" customHeight="1">
      <c r="A1" s="1"/>
      <c r="B1" s="2"/>
      <c r="C1" s="2"/>
      <c r="D1" s="2"/>
      <c r="E1" s="2"/>
      <c r="F1" s="2"/>
      <c r="G1" s="2"/>
      <c r="H1" s="3"/>
      <c r="I1" s="3"/>
      <c r="J1" s="3"/>
      <c r="K1" s="3"/>
      <c r="L1" s="3"/>
      <c r="M1" s="3"/>
      <c r="N1" s="3"/>
      <c r="O1" s="3"/>
      <c r="P1" s="3"/>
      <c r="Q1" s="3"/>
      <c r="R1" s="3"/>
      <c r="S1" s="3"/>
      <c r="T1" s="3"/>
      <c r="U1" s="3"/>
      <c r="V1" s="3"/>
      <c r="W1" s="3"/>
      <c r="X1" s="3"/>
      <c r="Y1" s="3"/>
      <c r="Z1" s="3"/>
    </row>
    <row r="2" spans="1:26" ht="22.8">
      <c r="A2" s="4"/>
      <c r="B2" s="176" t="s">
        <v>0</v>
      </c>
      <c r="C2" s="177"/>
      <c r="D2" s="3"/>
      <c r="E2" s="2"/>
      <c r="F2" s="2"/>
      <c r="G2" s="2"/>
      <c r="H2" s="3"/>
      <c r="I2" s="3"/>
      <c r="J2" s="3"/>
      <c r="K2" s="3"/>
      <c r="L2" s="3"/>
      <c r="M2" s="3"/>
      <c r="N2" s="3"/>
      <c r="O2" s="3"/>
      <c r="P2" s="3"/>
      <c r="Q2" s="3"/>
      <c r="R2" s="3"/>
      <c r="S2" s="3"/>
      <c r="T2" s="3"/>
      <c r="U2" s="3"/>
      <c r="V2" s="3"/>
      <c r="W2" s="3"/>
      <c r="X2" s="3"/>
      <c r="Y2" s="3"/>
      <c r="Z2" s="3"/>
    </row>
    <row r="3" spans="1:26" ht="15.75" customHeight="1">
      <c r="A3" s="5"/>
      <c r="B3" s="6"/>
      <c r="C3" s="7"/>
      <c r="D3" s="3"/>
      <c r="E3" s="8"/>
      <c r="F3" s="2"/>
      <c r="G3" s="2"/>
      <c r="H3" s="3"/>
      <c r="I3" s="3"/>
      <c r="J3" s="3"/>
      <c r="K3" s="3"/>
      <c r="L3" s="3"/>
      <c r="M3" s="3"/>
      <c r="N3" s="3"/>
      <c r="O3" s="3"/>
      <c r="P3" s="3"/>
      <c r="Q3" s="3"/>
      <c r="R3" s="3"/>
      <c r="S3" s="3"/>
      <c r="T3" s="3"/>
      <c r="U3" s="3"/>
      <c r="V3" s="3"/>
      <c r="W3" s="3"/>
      <c r="X3" s="3"/>
      <c r="Y3" s="3"/>
      <c r="Z3" s="3"/>
    </row>
    <row r="4" spans="1:26" ht="15.75" customHeight="1">
      <c r="A4" s="9"/>
      <c r="B4" s="10" t="s">
        <v>1</v>
      </c>
      <c r="C4" s="11" t="str">
        <f>HSummary!E2</f>
        <v>01 Feb 2026 - 28 Feb 2026</v>
      </c>
      <c r="D4" s="3"/>
      <c r="E4" s="2"/>
      <c r="F4" s="2"/>
      <c r="G4" s="2"/>
      <c r="H4" s="3"/>
      <c r="I4" s="3"/>
      <c r="J4" s="3"/>
      <c r="K4" s="3"/>
      <c r="L4" s="3"/>
      <c r="M4" s="3"/>
      <c r="N4" s="3"/>
      <c r="O4" s="3"/>
      <c r="P4" s="3"/>
      <c r="Q4" s="3"/>
      <c r="R4" s="3"/>
      <c r="S4" s="3"/>
      <c r="T4" s="3"/>
      <c r="U4" s="3"/>
      <c r="V4" s="3"/>
      <c r="W4" s="3"/>
      <c r="X4" s="3"/>
      <c r="Y4" s="3"/>
      <c r="Z4" s="3"/>
    </row>
    <row r="5" spans="1:26" ht="15.75" customHeight="1">
      <c r="A5" s="12"/>
      <c r="B5" s="13" t="s">
        <v>2</v>
      </c>
      <c r="C5" s="14" t="str">
        <f>HSummary!F2</f>
        <v>20523448</v>
      </c>
      <c r="D5" s="3"/>
      <c r="E5" s="2"/>
      <c r="F5" s="2"/>
      <c r="G5" s="2"/>
      <c r="H5" s="3"/>
      <c r="I5" s="3"/>
      <c r="J5" s="3"/>
      <c r="K5" s="3"/>
      <c r="L5" s="3"/>
      <c r="M5" s="3"/>
      <c r="N5" s="3"/>
      <c r="O5" s="3"/>
      <c r="P5" s="3"/>
      <c r="Q5" s="3"/>
      <c r="R5" s="3"/>
      <c r="S5" s="3"/>
      <c r="T5" s="3"/>
      <c r="U5" s="3"/>
      <c r="V5" s="3"/>
      <c r="W5" s="3"/>
      <c r="X5" s="3"/>
      <c r="Y5" s="3"/>
      <c r="Z5" s="3"/>
    </row>
    <row r="6" spans="1:26" ht="15.75" customHeight="1">
      <c r="A6" s="12"/>
      <c r="B6" s="13" t="s">
        <v>3</v>
      </c>
      <c r="C6" s="14" t="str">
        <f>HSummary!G2</f>
        <v>92707</v>
      </c>
      <c r="D6" s="3"/>
      <c r="E6" s="2"/>
      <c r="F6" s="2"/>
      <c r="G6" s="2"/>
      <c r="H6" s="3"/>
      <c r="I6" s="3"/>
      <c r="J6" s="3"/>
      <c r="K6" s="3"/>
      <c r="L6" s="3"/>
      <c r="M6" s="3"/>
      <c r="N6" s="3"/>
      <c r="O6" s="3"/>
      <c r="P6" s="3"/>
      <c r="Q6" s="3"/>
      <c r="R6" s="3"/>
      <c r="S6" s="3"/>
      <c r="T6" s="3"/>
      <c r="U6" s="3"/>
      <c r="V6" s="3"/>
      <c r="W6" s="3"/>
      <c r="X6" s="3"/>
      <c r="Y6" s="3"/>
      <c r="Z6" s="3"/>
    </row>
    <row r="7" spans="1:26" ht="15.75" customHeight="1">
      <c r="A7" s="12"/>
      <c r="B7" s="13" t="s">
        <v>4</v>
      </c>
      <c r="C7" s="14" t="str">
        <f>HSummary!H2</f>
        <v>Manaswini Food Private Limited</v>
      </c>
      <c r="D7" s="3"/>
      <c r="E7" s="2"/>
      <c r="F7" s="2"/>
      <c r="G7" s="2"/>
      <c r="H7" s="3"/>
      <c r="I7" s="3"/>
      <c r="J7" s="3"/>
      <c r="K7" s="3"/>
      <c r="L7" s="3"/>
      <c r="M7" s="3"/>
      <c r="N7" s="3"/>
      <c r="O7" s="3"/>
      <c r="P7" s="3"/>
      <c r="Q7" s="3"/>
      <c r="R7" s="3"/>
      <c r="S7" s="3"/>
      <c r="T7" s="3"/>
      <c r="U7" s="3"/>
      <c r="V7" s="3"/>
      <c r="W7" s="3"/>
      <c r="X7" s="3"/>
      <c r="Y7" s="3"/>
      <c r="Z7" s="3"/>
    </row>
    <row r="8" spans="1:26" ht="15.75" customHeight="1">
      <c r="A8" s="12"/>
      <c r="B8" s="13" t="s">
        <v>5</v>
      </c>
      <c r="C8" s="14" t="str">
        <f>HSummary!I2</f>
        <v>Purnabramha Aurangabad</v>
      </c>
      <c r="D8" s="3"/>
      <c r="E8" s="2"/>
      <c r="F8" s="2"/>
      <c r="G8" s="2"/>
      <c r="H8" s="3"/>
      <c r="I8" s="3"/>
      <c r="J8" s="3"/>
      <c r="K8" s="3"/>
      <c r="L8" s="3"/>
      <c r="M8" s="3"/>
      <c r="N8" s="3"/>
      <c r="O8" s="3"/>
      <c r="P8" s="3"/>
      <c r="Q8" s="3"/>
      <c r="R8" s="3"/>
      <c r="S8" s="3"/>
      <c r="T8" s="3"/>
      <c r="U8" s="3"/>
      <c r="V8" s="3"/>
      <c r="W8" s="3"/>
      <c r="X8" s="3"/>
      <c r="Y8" s="3"/>
      <c r="Z8" s="3"/>
    </row>
    <row r="9" spans="1:26" ht="15.75" customHeight="1">
      <c r="A9" s="12"/>
      <c r="B9" s="13" t="s">
        <v>6</v>
      </c>
      <c r="C9" s="14" t="str">
        <f>HSummary!J2</f>
        <v>1st floor,Pune, Aurangabad, Maharashtra</v>
      </c>
      <c r="D9" s="3"/>
      <c r="E9" s="2"/>
      <c r="F9" s="2"/>
      <c r="G9" s="2"/>
      <c r="H9" s="3"/>
      <c r="I9" s="3"/>
      <c r="J9" s="3"/>
      <c r="K9" s="3"/>
      <c r="L9" s="3"/>
      <c r="M9" s="3"/>
      <c r="N9" s="3"/>
      <c r="O9" s="3"/>
      <c r="P9" s="3"/>
      <c r="Q9" s="3"/>
      <c r="R9" s="3"/>
      <c r="S9" s="3"/>
      <c r="T9" s="3"/>
      <c r="U9" s="3"/>
      <c r="V9" s="3"/>
      <c r="W9" s="3"/>
      <c r="X9" s="3"/>
      <c r="Y9" s="3"/>
      <c r="Z9" s="3"/>
    </row>
    <row r="10" spans="1:26" ht="15.75" customHeight="1">
      <c r="A10" s="12"/>
      <c r="B10" s="13" t="s">
        <v>7</v>
      </c>
      <c r="C10" s="14" t="str">
        <f>HSummary!K2</f>
        <v>AAKCM0381K</v>
      </c>
      <c r="D10" s="3"/>
      <c r="E10" s="2"/>
      <c r="F10" s="2"/>
      <c r="G10" s="2"/>
      <c r="H10" s="3"/>
      <c r="I10" s="3"/>
      <c r="J10" s="3"/>
      <c r="K10" s="3"/>
      <c r="L10" s="3"/>
      <c r="M10" s="3"/>
      <c r="N10" s="3"/>
      <c r="O10" s="3"/>
      <c r="P10" s="3"/>
      <c r="Q10" s="3"/>
      <c r="R10" s="3"/>
      <c r="S10" s="3"/>
      <c r="T10" s="3"/>
      <c r="U10" s="3"/>
      <c r="V10" s="3"/>
      <c r="W10" s="3"/>
      <c r="X10" s="3"/>
      <c r="Y10" s="3"/>
      <c r="Z10" s="3"/>
    </row>
    <row r="11" spans="1:26" ht="15.75" customHeight="1">
      <c r="A11" s="12"/>
      <c r="B11" s="13" t="s">
        <v>8</v>
      </c>
      <c r="C11" s="14" t="str">
        <f>HSummary!L2</f>
        <v>27AAKCM0381K1Z7</v>
      </c>
      <c r="D11" s="3"/>
      <c r="E11" s="2"/>
      <c r="F11" s="2"/>
      <c r="G11" s="2"/>
      <c r="H11" s="3"/>
      <c r="I11" s="3"/>
      <c r="J11" s="3"/>
      <c r="K11" s="3"/>
      <c r="L11" s="3"/>
      <c r="M11" s="3"/>
      <c r="N11" s="3"/>
      <c r="O11" s="3"/>
      <c r="P11" s="3"/>
      <c r="Q11" s="3"/>
      <c r="R11" s="3"/>
      <c r="S11" s="3"/>
      <c r="T11" s="3"/>
      <c r="U11" s="3"/>
      <c r="V11" s="3"/>
      <c r="W11" s="3"/>
      <c r="X11" s="3"/>
      <c r="Y11" s="3"/>
      <c r="Z11" s="3"/>
    </row>
    <row r="12" spans="1:26" ht="15.75" customHeight="1">
      <c r="A12" s="9"/>
      <c r="B12" s="10" t="s">
        <v>9</v>
      </c>
      <c r="C12" s="11" t="str">
        <f>HSummary!M2</f>
        <v/>
      </c>
      <c r="D12" s="3"/>
      <c r="E12" s="2"/>
      <c r="F12" s="2"/>
      <c r="G12" s="2"/>
      <c r="H12" s="3"/>
      <c r="I12" s="3"/>
      <c r="J12" s="3"/>
      <c r="K12" s="3"/>
      <c r="L12" s="3"/>
      <c r="M12" s="3"/>
      <c r="N12" s="3"/>
      <c r="O12" s="3"/>
      <c r="P12" s="3"/>
      <c r="Q12" s="3"/>
      <c r="R12" s="3"/>
      <c r="S12" s="3"/>
      <c r="T12" s="3"/>
      <c r="U12" s="3"/>
      <c r="V12" s="3"/>
      <c r="W12" s="3"/>
      <c r="X12" s="3"/>
      <c r="Y12" s="3"/>
      <c r="Z12" s="3"/>
    </row>
    <row r="13" spans="1:26" ht="15.75" customHeight="1">
      <c r="A13" s="9"/>
      <c r="B13" s="10" t="s">
        <v>10</v>
      </c>
      <c r="C13" s="11" t="str">
        <f>HSummary!N2</f>
        <v>Weekly (Every Wednesday)</v>
      </c>
      <c r="D13" s="3"/>
      <c r="E13" s="2"/>
      <c r="F13" s="2"/>
      <c r="G13" s="2"/>
      <c r="H13" s="3"/>
      <c r="I13" s="3"/>
      <c r="J13" s="3"/>
      <c r="K13" s="3"/>
      <c r="L13" s="3"/>
      <c r="M13" s="3"/>
      <c r="N13" s="3"/>
      <c r="O13" s="3"/>
      <c r="P13" s="3"/>
      <c r="Q13" s="3"/>
      <c r="R13" s="3"/>
      <c r="S13" s="3"/>
      <c r="T13" s="3"/>
      <c r="U13" s="3"/>
      <c r="V13" s="3"/>
      <c r="W13" s="3"/>
      <c r="X13" s="3"/>
      <c r="Y13" s="3"/>
      <c r="Z13" s="3"/>
    </row>
    <row r="14" spans="1:26" ht="15.75" customHeight="1">
      <c r="A14" s="1"/>
      <c r="B14" s="15" t="s">
        <v>11</v>
      </c>
      <c r="C14" s="16" t="str">
        <f>HSummary!O2</f>
        <v>27AADCD4946L1CL</v>
      </c>
      <c r="D14" s="3"/>
      <c r="E14" s="2"/>
      <c r="F14" s="2"/>
      <c r="G14" s="2"/>
      <c r="H14" s="3"/>
      <c r="I14" s="3"/>
      <c r="J14" s="3"/>
      <c r="K14" s="3"/>
      <c r="L14" s="3"/>
      <c r="M14" s="3"/>
      <c r="N14" s="3"/>
      <c r="O14" s="3"/>
      <c r="P14" s="3"/>
      <c r="Q14" s="3"/>
      <c r="R14" s="3"/>
      <c r="S14" s="3"/>
      <c r="T14" s="3"/>
      <c r="U14" s="3"/>
      <c r="V14" s="3"/>
      <c r="W14" s="3"/>
      <c r="X14" s="3"/>
      <c r="Y14" s="3"/>
      <c r="Z14" s="3"/>
    </row>
    <row r="15" spans="1:26" ht="15.75" customHeight="1">
      <c r="A15" s="1"/>
      <c r="B15" s="15" t="s">
        <v>12</v>
      </c>
      <c r="C15" s="16" t="str">
        <f>HSummary!P2</f>
        <v>27AADCD4946L1ZA</v>
      </c>
      <c r="D15" s="3"/>
      <c r="E15" s="2"/>
      <c r="F15" s="2"/>
      <c r="G15" s="2"/>
      <c r="H15" s="3"/>
      <c r="I15" s="3"/>
      <c r="J15" s="3"/>
      <c r="K15" s="3"/>
      <c r="L15" s="3"/>
      <c r="M15" s="3"/>
      <c r="N15" s="3"/>
      <c r="O15" s="3"/>
      <c r="P15" s="3"/>
      <c r="Q15" s="3"/>
      <c r="R15" s="3"/>
      <c r="S15" s="3"/>
      <c r="T15" s="3"/>
      <c r="U15" s="3"/>
      <c r="V15" s="3"/>
      <c r="W15" s="3"/>
      <c r="X15" s="3"/>
      <c r="Y15" s="3"/>
      <c r="Z15" s="3"/>
    </row>
    <row r="16" spans="1:26" ht="50.4">
      <c r="A16" s="17"/>
      <c r="B16" s="18" t="s">
        <v>13</v>
      </c>
      <c r="C16" s="19">
        <f>'Payout Breakup'!F4</f>
        <v>151</v>
      </c>
      <c r="D16" s="8"/>
      <c r="E16" s="20"/>
      <c r="F16" s="20"/>
      <c r="G16" s="20"/>
      <c r="H16" s="8"/>
      <c r="I16" s="8"/>
      <c r="J16" s="8"/>
      <c r="K16" s="8"/>
      <c r="L16" s="8"/>
      <c r="M16" s="8"/>
      <c r="N16" s="8"/>
      <c r="O16" s="8"/>
      <c r="P16" s="8"/>
      <c r="Q16" s="8"/>
      <c r="R16" s="8"/>
      <c r="S16" s="8"/>
      <c r="T16" s="8"/>
      <c r="U16" s="8"/>
      <c r="V16" s="8"/>
      <c r="W16" s="8"/>
      <c r="X16" s="8"/>
      <c r="Y16" s="8"/>
      <c r="Z16" s="8"/>
    </row>
    <row r="17" spans="1:26" ht="33.6">
      <c r="A17" s="17"/>
      <c r="B17" s="18" t="s">
        <v>14</v>
      </c>
      <c r="C17" s="21">
        <f>'Payout Breakup'!F56</f>
        <v>47043.509999999995</v>
      </c>
      <c r="D17" s="8"/>
      <c r="E17" s="20"/>
      <c r="F17" s="20"/>
      <c r="G17" s="20"/>
      <c r="H17" s="8"/>
      <c r="I17" s="8"/>
      <c r="J17" s="8"/>
      <c r="K17" s="8"/>
      <c r="L17" s="8"/>
      <c r="M17" s="8"/>
      <c r="N17" s="8"/>
      <c r="O17" s="8"/>
      <c r="P17" s="8"/>
      <c r="Q17" s="8"/>
      <c r="R17" s="8"/>
      <c r="S17" s="8"/>
      <c r="T17" s="8"/>
      <c r="U17" s="8"/>
      <c r="V17" s="8"/>
      <c r="W17" s="8"/>
      <c r="X17" s="8"/>
      <c r="Y17" s="8"/>
      <c r="Z17" s="8"/>
    </row>
    <row r="18" spans="1:26" ht="17.399999999999999">
      <c r="A18" s="17"/>
      <c r="B18" s="22" t="s">
        <v>15</v>
      </c>
      <c r="C18" s="23" t="str">
        <f>IF(RIGHT(HSummary!S2,1)=",",LEFT(HSummary!S2,LEN(HSummary!S2)-1),HSummary!S2)</f>
        <v>CITIN26625847955,CITIN26617354846,CITIN26620176758,CITIN26622782803</v>
      </c>
      <c r="D18" s="24"/>
      <c r="E18" s="20"/>
      <c r="F18" s="20"/>
      <c r="G18" s="20"/>
      <c r="H18" s="8"/>
      <c r="I18" s="8"/>
      <c r="J18" s="8"/>
      <c r="K18" s="8"/>
      <c r="L18" s="8"/>
      <c r="M18" s="8"/>
      <c r="N18" s="8"/>
      <c r="O18" s="8"/>
      <c r="P18" s="8"/>
      <c r="Q18" s="8"/>
      <c r="R18" s="8"/>
      <c r="S18" s="8"/>
      <c r="T18" s="8"/>
      <c r="U18" s="8"/>
      <c r="V18" s="8"/>
      <c r="W18" s="8"/>
      <c r="X18" s="8"/>
      <c r="Y18" s="8"/>
      <c r="Z18" s="8"/>
    </row>
    <row r="19" spans="1:26" ht="15.75" customHeight="1">
      <c r="A19" s="1"/>
      <c r="B19" s="2"/>
      <c r="C19" s="2"/>
      <c r="D19" s="2"/>
      <c r="E19" s="2"/>
      <c r="F19" s="2"/>
      <c r="G19" s="2"/>
      <c r="H19" s="3"/>
      <c r="I19" s="3"/>
      <c r="J19" s="3"/>
      <c r="K19" s="3"/>
      <c r="L19" s="3"/>
      <c r="M19" s="3"/>
      <c r="N19" s="3"/>
      <c r="O19" s="3"/>
      <c r="P19" s="3"/>
      <c r="Q19" s="3"/>
      <c r="R19" s="3"/>
      <c r="S19" s="3"/>
      <c r="T19" s="3"/>
      <c r="U19" s="3"/>
      <c r="V19" s="3"/>
      <c r="W19" s="3"/>
      <c r="X19" s="3"/>
      <c r="Y19" s="3"/>
      <c r="Z19" s="3"/>
    </row>
    <row r="20" spans="1:26" ht="15.75" customHeight="1">
      <c r="A20" s="1"/>
      <c r="B20" s="2"/>
      <c r="C20" s="2"/>
      <c r="D20" s="2"/>
      <c r="E20" s="2"/>
      <c r="F20" s="2"/>
      <c r="G20" s="2"/>
      <c r="H20" s="3"/>
      <c r="I20" s="3"/>
      <c r="J20" s="3"/>
      <c r="K20" s="3"/>
      <c r="L20" s="3"/>
      <c r="M20" s="3"/>
      <c r="N20" s="3"/>
      <c r="O20" s="3"/>
      <c r="P20" s="3"/>
      <c r="Q20" s="3"/>
      <c r="R20" s="3"/>
      <c r="S20" s="3"/>
      <c r="T20" s="3"/>
      <c r="U20" s="3"/>
      <c r="V20" s="3"/>
      <c r="W20" s="3"/>
      <c r="X20" s="3"/>
      <c r="Y20" s="3"/>
      <c r="Z20" s="3"/>
    </row>
    <row r="21" spans="1:26" ht="15.75" customHeight="1">
      <c r="A21" s="1"/>
      <c r="B21" s="2"/>
      <c r="C21" s="2"/>
      <c r="D21" s="2"/>
      <c r="E21" s="2"/>
      <c r="F21" s="2"/>
      <c r="G21" s="2"/>
      <c r="H21" s="3"/>
      <c r="I21" s="3"/>
      <c r="J21" s="3"/>
      <c r="K21" s="3"/>
      <c r="L21" s="3"/>
      <c r="M21" s="3"/>
      <c r="N21" s="3"/>
      <c r="O21" s="3"/>
      <c r="P21" s="3"/>
      <c r="Q21" s="3"/>
      <c r="R21" s="3"/>
      <c r="S21" s="3"/>
      <c r="T21" s="3"/>
      <c r="U21" s="3"/>
      <c r="V21" s="3"/>
      <c r="W21" s="3"/>
      <c r="X21" s="3"/>
      <c r="Y21" s="3"/>
      <c r="Z21" s="3"/>
    </row>
    <row r="22" spans="1:26" ht="27" customHeight="1">
      <c r="A22" s="4"/>
      <c r="B22" s="176" t="s">
        <v>16</v>
      </c>
      <c r="C22" s="178"/>
      <c r="D22" s="177"/>
      <c r="E22" s="2"/>
      <c r="F22" s="2"/>
      <c r="G22" s="2"/>
      <c r="H22" s="3"/>
      <c r="I22" s="3"/>
      <c r="J22" s="3"/>
      <c r="K22" s="3"/>
      <c r="L22" s="3"/>
      <c r="M22" s="3"/>
      <c r="N22" s="3"/>
      <c r="O22" s="3"/>
      <c r="P22" s="3"/>
      <c r="Q22" s="3"/>
      <c r="R22" s="3"/>
      <c r="S22" s="3"/>
      <c r="T22" s="3"/>
      <c r="U22" s="3"/>
      <c r="V22" s="3"/>
      <c r="W22" s="3"/>
      <c r="X22" s="3"/>
      <c r="Y22" s="3"/>
      <c r="Z22" s="3"/>
    </row>
    <row r="23" spans="1:26" ht="30.75" customHeight="1">
      <c r="A23" s="25"/>
      <c r="B23" s="179" t="s">
        <v>17</v>
      </c>
      <c r="C23" s="180"/>
      <c r="D23" s="181"/>
      <c r="E23" s="2"/>
      <c r="F23" s="2"/>
      <c r="G23" s="2"/>
      <c r="H23" s="3"/>
      <c r="I23" s="3"/>
      <c r="J23" s="3"/>
      <c r="K23" s="3"/>
      <c r="L23" s="3"/>
      <c r="M23" s="3"/>
      <c r="N23" s="3"/>
      <c r="O23" s="3"/>
      <c r="P23" s="3"/>
      <c r="Q23" s="3"/>
      <c r="R23" s="3"/>
      <c r="S23" s="3"/>
      <c r="T23" s="3"/>
      <c r="U23" s="3"/>
      <c r="V23" s="3"/>
      <c r="W23" s="3"/>
      <c r="X23" s="3"/>
      <c r="Y23" s="3"/>
      <c r="Z23" s="3"/>
    </row>
    <row r="24" spans="1:26" ht="15.75" customHeight="1">
      <c r="A24" s="26"/>
      <c r="B24" s="27" t="s">
        <v>18</v>
      </c>
      <c r="C24" s="28" t="s">
        <v>19</v>
      </c>
      <c r="D24" s="29"/>
      <c r="E24" s="2"/>
      <c r="F24" s="2"/>
      <c r="G24" s="2"/>
      <c r="H24" s="3"/>
      <c r="I24" s="3"/>
      <c r="J24" s="3"/>
      <c r="K24" s="3"/>
      <c r="L24" s="3"/>
      <c r="M24" s="3"/>
      <c r="N24" s="3"/>
      <c r="O24" s="3"/>
      <c r="P24" s="3"/>
      <c r="Q24" s="3"/>
      <c r="R24" s="3"/>
      <c r="S24" s="3"/>
      <c r="T24" s="3"/>
      <c r="U24" s="3"/>
      <c r="V24" s="3"/>
      <c r="W24" s="3"/>
      <c r="X24" s="3"/>
      <c r="Y24" s="3"/>
      <c r="Z24" s="3"/>
    </row>
    <row r="25" spans="1:26" ht="15.75" customHeight="1">
      <c r="A25" s="30"/>
      <c r="B25" s="31" t="s">
        <v>20</v>
      </c>
      <c r="C25" s="182" t="s">
        <v>21</v>
      </c>
      <c r="D25" s="183"/>
      <c r="E25" s="2"/>
      <c r="F25" s="2"/>
      <c r="G25" s="2"/>
      <c r="H25" s="3"/>
      <c r="I25" s="3"/>
      <c r="J25" s="3"/>
      <c r="K25" s="3"/>
      <c r="L25" s="3"/>
      <c r="M25" s="3"/>
      <c r="N25" s="3"/>
      <c r="O25" s="3"/>
      <c r="P25" s="3"/>
      <c r="Q25" s="3"/>
      <c r="R25" s="3"/>
      <c r="S25" s="3"/>
      <c r="T25" s="3"/>
      <c r="U25" s="3"/>
      <c r="V25" s="3"/>
      <c r="W25" s="3"/>
      <c r="X25" s="3"/>
      <c r="Y25" s="3"/>
      <c r="Z25" s="3"/>
    </row>
    <row r="26" spans="1:26" ht="15.75" customHeight="1">
      <c r="A26" s="30"/>
      <c r="B26" s="31" t="s">
        <v>22</v>
      </c>
      <c r="C26" s="182" t="s">
        <v>23</v>
      </c>
      <c r="D26" s="183"/>
      <c r="E26" s="2"/>
      <c r="F26" s="2"/>
      <c r="G26" s="2"/>
      <c r="H26" s="3"/>
      <c r="I26" s="3"/>
      <c r="J26" s="3"/>
      <c r="K26" s="3"/>
      <c r="L26" s="3"/>
      <c r="M26" s="3"/>
      <c r="N26" s="3"/>
      <c r="O26" s="3"/>
      <c r="P26" s="3"/>
      <c r="Q26" s="3"/>
      <c r="R26" s="3"/>
      <c r="S26" s="3"/>
      <c r="T26" s="3"/>
      <c r="U26" s="3"/>
      <c r="V26" s="3"/>
      <c r="W26" s="3"/>
      <c r="X26" s="3"/>
      <c r="Y26" s="3"/>
      <c r="Z26" s="3"/>
    </row>
    <row r="27" spans="1:26" ht="36" customHeight="1">
      <c r="A27" s="32"/>
      <c r="B27" s="33" t="s">
        <v>24</v>
      </c>
      <c r="C27" s="182" t="s">
        <v>25</v>
      </c>
      <c r="D27" s="183"/>
      <c r="E27" s="2"/>
      <c r="F27" s="2"/>
      <c r="G27" s="2"/>
      <c r="H27" s="3"/>
      <c r="I27" s="3"/>
      <c r="J27" s="3"/>
      <c r="K27" s="3"/>
      <c r="L27" s="3"/>
      <c r="M27" s="3"/>
      <c r="N27" s="3"/>
      <c r="O27" s="3"/>
      <c r="P27" s="3"/>
      <c r="Q27" s="3"/>
      <c r="R27" s="3"/>
      <c r="S27" s="3"/>
      <c r="T27" s="3"/>
      <c r="U27" s="3"/>
      <c r="V27" s="3"/>
      <c r="W27" s="3"/>
      <c r="X27" s="3"/>
      <c r="Y27" s="3"/>
      <c r="Z27" s="3"/>
    </row>
    <row r="28" spans="1:26" ht="51.75" customHeight="1">
      <c r="A28" s="30"/>
      <c r="B28" s="31" t="s">
        <v>26</v>
      </c>
      <c r="C28" s="182" t="s">
        <v>27</v>
      </c>
      <c r="D28" s="183"/>
      <c r="E28" s="2"/>
      <c r="F28" s="2"/>
      <c r="G28" s="2"/>
      <c r="H28" s="3"/>
      <c r="I28" s="3"/>
      <c r="J28" s="3"/>
      <c r="K28" s="3"/>
      <c r="L28" s="3"/>
      <c r="M28" s="3"/>
      <c r="N28" s="3"/>
      <c r="O28" s="3"/>
      <c r="P28" s="3"/>
      <c r="Q28" s="3"/>
      <c r="R28" s="3"/>
      <c r="S28" s="3"/>
      <c r="T28" s="3"/>
      <c r="U28" s="3"/>
      <c r="V28" s="3"/>
      <c r="W28" s="3"/>
      <c r="X28" s="3"/>
      <c r="Y28" s="3"/>
      <c r="Z28" s="3"/>
    </row>
    <row r="29" spans="1:26" ht="36.75" customHeight="1">
      <c r="A29" s="30"/>
      <c r="B29" s="31" t="s">
        <v>28</v>
      </c>
      <c r="C29" s="182" t="s">
        <v>29</v>
      </c>
      <c r="D29" s="183"/>
      <c r="E29" s="2"/>
      <c r="F29" s="2"/>
      <c r="G29" s="2"/>
      <c r="H29" s="3"/>
      <c r="I29" s="3"/>
      <c r="J29" s="3"/>
      <c r="K29" s="3"/>
      <c r="L29" s="3"/>
      <c r="M29" s="3"/>
      <c r="N29" s="3"/>
      <c r="O29" s="3"/>
      <c r="P29" s="3"/>
      <c r="Q29" s="3"/>
      <c r="R29" s="3"/>
      <c r="S29" s="3"/>
      <c r="T29" s="3"/>
      <c r="U29" s="3"/>
      <c r="V29" s="3"/>
      <c r="W29" s="3"/>
      <c r="X29" s="3"/>
      <c r="Y29" s="3"/>
      <c r="Z29" s="3"/>
    </row>
    <row r="30" spans="1:26" ht="15.75" customHeight="1">
      <c r="A30" s="30"/>
      <c r="B30" s="31" t="s">
        <v>30</v>
      </c>
      <c r="C30" s="182" t="s">
        <v>31</v>
      </c>
      <c r="D30" s="183"/>
      <c r="E30" s="2"/>
      <c r="F30" s="2"/>
      <c r="G30" s="2"/>
      <c r="H30" s="3"/>
      <c r="I30" s="3"/>
      <c r="J30" s="3"/>
      <c r="K30" s="3"/>
      <c r="L30" s="3"/>
      <c r="M30" s="3"/>
      <c r="N30" s="3"/>
      <c r="O30" s="3"/>
      <c r="P30" s="3"/>
      <c r="Q30" s="3"/>
      <c r="R30" s="3"/>
      <c r="S30" s="3"/>
      <c r="T30" s="3"/>
      <c r="U30" s="3"/>
      <c r="V30" s="3"/>
      <c r="W30" s="3"/>
      <c r="X30" s="3"/>
      <c r="Y30" s="3"/>
      <c r="Z30" s="3"/>
    </row>
    <row r="31" spans="1:26" ht="15.75" customHeight="1">
      <c r="A31" s="1"/>
      <c r="B31" s="2"/>
      <c r="C31" s="2"/>
      <c r="D31" s="2"/>
      <c r="E31" s="2"/>
      <c r="F31" s="2"/>
      <c r="G31" s="2"/>
      <c r="H31" s="3"/>
      <c r="I31" s="3"/>
      <c r="J31" s="3"/>
      <c r="K31" s="3"/>
      <c r="L31" s="3"/>
      <c r="M31" s="3"/>
      <c r="N31" s="3"/>
      <c r="O31" s="3"/>
      <c r="P31" s="3"/>
      <c r="Q31" s="3"/>
      <c r="R31" s="3"/>
      <c r="S31" s="3"/>
      <c r="T31" s="3"/>
      <c r="U31" s="3"/>
      <c r="V31" s="3"/>
      <c r="W31" s="3"/>
      <c r="X31" s="3"/>
      <c r="Y31" s="3"/>
      <c r="Z31" s="3"/>
    </row>
    <row r="32" spans="1:26" ht="15.75" customHeight="1">
      <c r="A32" s="5"/>
      <c r="B32" s="34"/>
      <c r="C32" s="186"/>
      <c r="D32" s="180"/>
      <c r="E32" s="2"/>
      <c r="F32" s="2"/>
      <c r="G32" s="2"/>
      <c r="H32" s="3"/>
      <c r="I32" s="3"/>
      <c r="J32" s="3"/>
      <c r="K32" s="3"/>
      <c r="L32" s="3"/>
      <c r="M32" s="3"/>
      <c r="N32" s="3"/>
      <c r="O32" s="3"/>
      <c r="P32" s="3"/>
      <c r="Q32" s="3"/>
      <c r="R32" s="3"/>
      <c r="S32" s="3"/>
      <c r="T32" s="3"/>
      <c r="U32" s="3"/>
      <c r="V32" s="3"/>
      <c r="W32" s="3"/>
      <c r="X32" s="3"/>
      <c r="Y32" s="3"/>
      <c r="Z32" s="3"/>
    </row>
    <row r="33" spans="1:26" ht="15.75" customHeight="1">
      <c r="A33" s="1"/>
      <c r="B33" s="2"/>
      <c r="C33" s="2"/>
      <c r="D33" s="2"/>
      <c r="E33" s="2"/>
      <c r="F33" s="2"/>
      <c r="G33" s="2"/>
      <c r="H33" s="3"/>
      <c r="I33" s="3"/>
      <c r="J33" s="3"/>
      <c r="K33" s="3"/>
      <c r="L33" s="3"/>
      <c r="M33" s="3"/>
      <c r="N33" s="3"/>
      <c r="O33" s="3"/>
      <c r="P33" s="3"/>
      <c r="Q33" s="3"/>
      <c r="R33" s="3"/>
      <c r="S33" s="3"/>
      <c r="T33" s="3"/>
      <c r="U33" s="3"/>
      <c r="V33" s="3"/>
      <c r="W33" s="3"/>
      <c r="X33" s="3"/>
      <c r="Y33" s="3"/>
      <c r="Z33" s="3"/>
    </row>
    <row r="34" spans="1:26" ht="15.75" customHeight="1">
      <c r="A34" s="35"/>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5"/>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5"/>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5"/>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5"/>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5"/>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5"/>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5"/>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5"/>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5"/>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5"/>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5"/>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5"/>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5"/>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5"/>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5"/>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5"/>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5"/>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5"/>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5"/>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5"/>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5"/>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5"/>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5"/>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5"/>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5"/>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5"/>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5"/>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5"/>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5"/>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5"/>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5"/>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5"/>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5"/>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1"/>
      <c r="B68" s="2"/>
      <c r="C68" s="2"/>
      <c r="D68" s="2"/>
      <c r="E68" s="2"/>
      <c r="F68" s="2"/>
      <c r="G68" s="2"/>
      <c r="H68" s="3"/>
      <c r="I68" s="3"/>
      <c r="J68" s="3"/>
      <c r="K68" s="3"/>
      <c r="L68" s="3"/>
      <c r="M68" s="3"/>
      <c r="N68" s="3"/>
      <c r="O68" s="3"/>
      <c r="P68" s="3"/>
      <c r="Q68" s="3"/>
      <c r="R68" s="3"/>
      <c r="S68" s="3"/>
      <c r="T68" s="3"/>
      <c r="U68" s="3"/>
      <c r="V68" s="3"/>
      <c r="W68" s="3"/>
      <c r="X68" s="3"/>
      <c r="Y68" s="3"/>
      <c r="Z68" s="3"/>
    </row>
    <row r="69" spans="1:26" ht="15.75" customHeight="1">
      <c r="A69" s="1"/>
      <c r="B69" s="2"/>
      <c r="C69" s="2"/>
      <c r="D69" s="184"/>
      <c r="E69" s="185"/>
      <c r="F69" s="185"/>
      <c r="G69" s="185"/>
      <c r="H69" s="3"/>
      <c r="I69" s="3"/>
      <c r="J69" s="3"/>
      <c r="K69" s="3"/>
      <c r="L69" s="3"/>
      <c r="M69" s="3"/>
      <c r="N69" s="3"/>
      <c r="O69" s="3"/>
      <c r="P69" s="3"/>
      <c r="Q69" s="3"/>
      <c r="R69" s="3"/>
      <c r="S69" s="3"/>
      <c r="T69" s="3"/>
      <c r="U69" s="3"/>
      <c r="V69" s="3"/>
      <c r="W69" s="3"/>
      <c r="X69" s="3"/>
      <c r="Y69" s="3"/>
      <c r="Z69" s="3"/>
    </row>
    <row r="70" spans="1:26" ht="15.75" customHeight="1">
      <c r="A70" s="1"/>
      <c r="B70" s="2"/>
      <c r="C70" s="2"/>
      <c r="D70" s="184"/>
      <c r="E70" s="185"/>
      <c r="F70" s="185"/>
      <c r="G70" s="185"/>
      <c r="H70" s="3"/>
      <c r="I70" s="3"/>
      <c r="J70" s="3"/>
      <c r="K70" s="3"/>
      <c r="L70" s="3"/>
      <c r="M70" s="3"/>
      <c r="N70" s="3"/>
      <c r="O70" s="3"/>
      <c r="P70" s="3"/>
      <c r="Q70" s="3"/>
      <c r="R70" s="3"/>
      <c r="S70" s="3"/>
      <c r="T70" s="3"/>
      <c r="U70" s="3"/>
      <c r="V70" s="3"/>
      <c r="W70" s="3"/>
      <c r="X70" s="3"/>
      <c r="Y70" s="3"/>
      <c r="Z70" s="3"/>
    </row>
    <row r="71" spans="1:26" ht="15.75" customHeight="1">
      <c r="A71" s="1"/>
      <c r="B71" s="2"/>
      <c r="C71" s="2"/>
      <c r="D71" s="184"/>
      <c r="E71" s="185"/>
      <c r="F71" s="185"/>
      <c r="G71" s="185"/>
      <c r="H71" s="3"/>
      <c r="I71" s="3"/>
      <c r="J71" s="3"/>
      <c r="K71" s="3"/>
      <c r="L71" s="3"/>
      <c r="M71" s="3"/>
      <c r="N71" s="3"/>
      <c r="O71" s="3"/>
      <c r="P71" s="3"/>
      <c r="Q71" s="3"/>
      <c r="R71" s="3"/>
      <c r="S71" s="3"/>
      <c r="T71" s="3"/>
      <c r="U71" s="3"/>
      <c r="V71" s="3"/>
      <c r="W71" s="3"/>
      <c r="X71" s="3"/>
      <c r="Y71" s="3"/>
      <c r="Z71" s="3"/>
    </row>
    <row r="72" spans="1:26" ht="15.75" customHeight="1">
      <c r="A72" s="1"/>
      <c r="B72" s="2"/>
      <c r="C72" s="2"/>
      <c r="D72" s="184"/>
      <c r="E72" s="185"/>
      <c r="F72" s="185"/>
      <c r="G72" s="185"/>
      <c r="H72" s="3"/>
      <c r="I72" s="3"/>
      <c r="J72" s="3"/>
      <c r="K72" s="3"/>
      <c r="L72" s="3"/>
      <c r="M72" s="3"/>
      <c r="N72" s="3"/>
      <c r="O72" s="3"/>
      <c r="P72" s="3"/>
      <c r="Q72" s="3"/>
      <c r="R72" s="3"/>
      <c r="S72" s="3"/>
      <c r="T72" s="3"/>
      <c r="U72" s="3"/>
      <c r="V72" s="3"/>
      <c r="W72" s="3"/>
      <c r="X72" s="3"/>
      <c r="Y72" s="3"/>
      <c r="Z72" s="3"/>
    </row>
    <row r="73" spans="1:26" ht="15.75" customHeight="1">
      <c r="A73" s="1"/>
      <c r="B73" s="2"/>
      <c r="C73" s="2"/>
      <c r="D73" s="184"/>
      <c r="E73" s="185"/>
      <c r="F73" s="185"/>
      <c r="G73" s="185"/>
      <c r="H73" s="3"/>
      <c r="I73" s="3"/>
      <c r="J73" s="3"/>
      <c r="K73" s="3"/>
      <c r="L73" s="3"/>
      <c r="M73" s="3"/>
      <c r="N73" s="3"/>
      <c r="O73" s="3"/>
      <c r="P73" s="3"/>
      <c r="Q73" s="3"/>
      <c r="R73" s="3"/>
      <c r="S73" s="3"/>
      <c r="T73" s="3"/>
      <c r="U73" s="3"/>
      <c r="V73" s="3"/>
      <c r="W73" s="3"/>
      <c r="X73" s="3"/>
      <c r="Y73" s="3"/>
      <c r="Z73" s="3"/>
    </row>
    <row r="74" spans="1:26" ht="15.75" customHeight="1">
      <c r="A74" s="1"/>
      <c r="B74" s="2"/>
      <c r="C74" s="2"/>
      <c r="D74" s="184"/>
      <c r="E74" s="185"/>
      <c r="F74" s="185"/>
      <c r="G74" s="185"/>
      <c r="H74" s="3"/>
      <c r="I74" s="3"/>
      <c r="J74" s="3"/>
      <c r="K74" s="3"/>
      <c r="L74" s="3"/>
      <c r="M74" s="3"/>
      <c r="N74" s="3"/>
      <c r="O74" s="3"/>
      <c r="P74" s="3"/>
      <c r="Q74" s="3"/>
      <c r="R74" s="3"/>
      <c r="S74" s="3"/>
      <c r="T74" s="3"/>
      <c r="U74" s="3"/>
      <c r="V74" s="3"/>
      <c r="W74" s="3"/>
      <c r="X74" s="3"/>
      <c r="Y74" s="3"/>
      <c r="Z74" s="3"/>
    </row>
    <row r="75" spans="1:26" ht="15.75" customHeight="1">
      <c r="A75" s="1"/>
      <c r="B75" s="2"/>
      <c r="C75" s="2"/>
      <c r="D75" s="2"/>
      <c r="E75" s="2"/>
      <c r="F75" s="2"/>
      <c r="G75" s="2"/>
      <c r="H75" s="3"/>
      <c r="I75" s="3"/>
      <c r="J75" s="3"/>
      <c r="K75" s="3"/>
      <c r="L75" s="3"/>
      <c r="M75" s="3"/>
      <c r="N75" s="3"/>
      <c r="O75" s="3"/>
      <c r="P75" s="3"/>
      <c r="Q75" s="3"/>
      <c r="R75" s="3"/>
      <c r="S75" s="3"/>
      <c r="T75" s="3"/>
      <c r="U75" s="3"/>
      <c r="V75" s="3"/>
      <c r="W75" s="3"/>
      <c r="X75" s="3"/>
      <c r="Y75" s="3"/>
      <c r="Z75" s="3"/>
    </row>
    <row r="76" spans="1:26" ht="15.75" customHeight="1">
      <c r="A76" s="1"/>
      <c r="B76" s="2"/>
      <c r="C76" s="2"/>
      <c r="D76" s="2"/>
      <c r="E76" s="2"/>
      <c r="F76" s="2"/>
      <c r="G76" s="2"/>
      <c r="H76" s="3"/>
      <c r="I76" s="3"/>
      <c r="J76" s="3"/>
      <c r="K76" s="3"/>
      <c r="L76" s="3"/>
      <c r="M76" s="3"/>
      <c r="N76" s="3"/>
      <c r="O76" s="3"/>
      <c r="P76" s="3"/>
      <c r="Q76" s="3"/>
      <c r="R76" s="3"/>
      <c r="S76" s="3"/>
      <c r="T76" s="3"/>
      <c r="U76" s="3"/>
      <c r="V76" s="3"/>
      <c r="W76" s="3"/>
      <c r="X76" s="3"/>
      <c r="Y76" s="3"/>
      <c r="Z76" s="3"/>
    </row>
    <row r="77" spans="1:26" ht="15.75" customHeight="1">
      <c r="A77" s="1"/>
      <c r="B77" s="2"/>
      <c r="C77" s="2"/>
      <c r="D77" s="2"/>
      <c r="E77" s="2"/>
      <c r="F77" s="2"/>
      <c r="G77" s="2"/>
      <c r="H77" s="3"/>
      <c r="I77" s="3"/>
      <c r="J77" s="3"/>
      <c r="K77" s="3"/>
      <c r="L77" s="3"/>
      <c r="M77" s="3"/>
      <c r="N77" s="3"/>
      <c r="O77" s="3"/>
      <c r="P77" s="3"/>
      <c r="Q77" s="3"/>
      <c r="R77" s="3"/>
      <c r="S77" s="3"/>
      <c r="T77" s="3"/>
      <c r="U77" s="3"/>
      <c r="V77" s="3"/>
      <c r="W77" s="3"/>
      <c r="X77" s="3"/>
      <c r="Y77" s="3"/>
      <c r="Z77" s="3"/>
    </row>
    <row r="78" spans="1:26" ht="15.75" customHeight="1">
      <c r="A78" s="1"/>
      <c r="B78" s="2"/>
      <c r="C78" s="2"/>
      <c r="D78" s="2"/>
      <c r="E78" s="2"/>
      <c r="F78" s="2"/>
      <c r="G78" s="2"/>
      <c r="H78" s="3"/>
      <c r="I78" s="3"/>
      <c r="J78" s="3"/>
      <c r="K78" s="3"/>
      <c r="L78" s="3"/>
      <c r="M78" s="3"/>
      <c r="N78" s="3"/>
      <c r="O78" s="3"/>
      <c r="P78" s="3"/>
      <c r="Q78" s="3"/>
      <c r="R78" s="3"/>
      <c r="S78" s="3"/>
      <c r="T78" s="3"/>
      <c r="U78" s="3"/>
      <c r="V78" s="3"/>
      <c r="W78" s="3"/>
      <c r="X78" s="3"/>
      <c r="Y78" s="3"/>
      <c r="Z78" s="3"/>
    </row>
    <row r="79" spans="1:26" ht="15.75" customHeight="1">
      <c r="A79" s="1"/>
      <c r="B79" s="2"/>
      <c r="C79" s="2"/>
      <c r="D79" s="2"/>
      <c r="E79" s="2"/>
      <c r="F79" s="2"/>
      <c r="G79" s="2"/>
      <c r="H79" s="3"/>
      <c r="I79" s="3"/>
      <c r="J79" s="3"/>
      <c r="K79" s="3"/>
      <c r="L79" s="3"/>
      <c r="M79" s="3"/>
      <c r="N79" s="3"/>
      <c r="O79" s="3"/>
      <c r="P79" s="3"/>
      <c r="Q79" s="3"/>
      <c r="R79" s="3"/>
      <c r="S79" s="3"/>
      <c r="T79" s="3"/>
      <c r="U79" s="3"/>
      <c r="V79" s="3"/>
      <c r="W79" s="3"/>
      <c r="X79" s="3"/>
      <c r="Y79" s="3"/>
      <c r="Z79" s="3"/>
    </row>
    <row r="80" spans="1:26" ht="15.75" customHeight="1">
      <c r="A80" s="1"/>
      <c r="B80" s="2"/>
      <c r="C80" s="2"/>
      <c r="D80" s="2"/>
      <c r="E80" s="2"/>
      <c r="F80" s="2"/>
      <c r="G80" s="2"/>
      <c r="H80" s="3"/>
      <c r="I80" s="3"/>
      <c r="J80" s="3"/>
      <c r="K80" s="3"/>
      <c r="L80" s="3"/>
      <c r="M80" s="3"/>
      <c r="N80" s="3"/>
      <c r="O80" s="3"/>
      <c r="P80" s="3"/>
      <c r="Q80" s="3"/>
      <c r="R80" s="3"/>
      <c r="S80" s="3"/>
      <c r="T80" s="3"/>
      <c r="U80" s="3"/>
      <c r="V80" s="3"/>
      <c r="W80" s="3"/>
      <c r="X80" s="3"/>
      <c r="Y80" s="3"/>
      <c r="Z80" s="3"/>
    </row>
    <row r="81" spans="1:26" ht="15.75" customHeight="1">
      <c r="A81" s="1"/>
      <c r="B81" s="2"/>
      <c r="C81" s="2"/>
      <c r="D81" s="2"/>
      <c r="E81" s="2"/>
      <c r="F81" s="2"/>
      <c r="G81" s="2"/>
      <c r="H81" s="3"/>
      <c r="I81" s="3"/>
      <c r="J81" s="3"/>
      <c r="K81" s="3"/>
      <c r="L81" s="3"/>
      <c r="M81" s="3"/>
      <c r="N81" s="3"/>
      <c r="O81" s="3"/>
      <c r="P81" s="3"/>
      <c r="Q81" s="3"/>
      <c r="R81" s="3"/>
      <c r="S81" s="3"/>
      <c r="T81" s="3"/>
      <c r="U81" s="3"/>
      <c r="V81" s="3"/>
      <c r="W81" s="3"/>
      <c r="X81" s="3"/>
      <c r="Y81" s="3"/>
      <c r="Z81" s="3"/>
    </row>
    <row r="82" spans="1:26" ht="15.75" customHeight="1">
      <c r="A82" s="1"/>
      <c r="B82" s="2"/>
      <c r="C82" s="2"/>
      <c r="D82" s="2"/>
      <c r="E82" s="2"/>
      <c r="F82" s="2"/>
      <c r="G82" s="2"/>
      <c r="H82" s="3"/>
      <c r="I82" s="3"/>
      <c r="J82" s="3"/>
      <c r="K82" s="3"/>
      <c r="L82" s="3"/>
      <c r="M82" s="3"/>
      <c r="N82" s="3"/>
      <c r="O82" s="3"/>
      <c r="P82" s="3"/>
      <c r="Q82" s="3"/>
      <c r="R82" s="3"/>
      <c r="S82" s="3"/>
      <c r="T82" s="3"/>
      <c r="U82" s="3"/>
      <c r="V82" s="3"/>
      <c r="W82" s="3"/>
      <c r="X82" s="3"/>
      <c r="Y82" s="3"/>
      <c r="Z82" s="3"/>
    </row>
    <row r="83" spans="1:26" ht="15.75" customHeight="1">
      <c r="A83" s="1"/>
      <c r="B83" s="2"/>
      <c r="C83" s="2"/>
      <c r="D83" s="2"/>
      <c r="E83" s="2"/>
      <c r="F83" s="2"/>
      <c r="G83" s="2"/>
      <c r="H83" s="3"/>
      <c r="I83" s="3"/>
      <c r="J83" s="3"/>
      <c r="K83" s="3"/>
      <c r="L83" s="3"/>
      <c r="M83" s="3"/>
      <c r="N83" s="3"/>
      <c r="O83" s="3"/>
      <c r="P83" s="3"/>
      <c r="Q83" s="3"/>
      <c r="R83" s="3"/>
      <c r="S83" s="3"/>
      <c r="T83" s="3"/>
      <c r="U83" s="3"/>
      <c r="V83" s="3"/>
      <c r="W83" s="3"/>
      <c r="X83" s="3"/>
      <c r="Y83" s="3"/>
      <c r="Z83" s="3"/>
    </row>
    <row r="84" spans="1:26" ht="15.75" customHeight="1">
      <c r="A84" s="1"/>
      <c r="B84" s="2"/>
      <c r="C84" s="2"/>
      <c r="D84" s="2"/>
      <c r="E84" s="2"/>
      <c r="F84" s="2"/>
      <c r="G84" s="2"/>
      <c r="H84" s="3"/>
      <c r="I84" s="3"/>
      <c r="J84" s="3"/>
      <c r="K84" s="3"/>
      <c r="L84" s="3"/>
      <c r="M84" s="3"/>
      <c r="N84" s="3"/>
      <c r="O84" s="3"/>
      <c r="P84" s="3"/>
      <c r="Q84" s="3"/>
      <c r="R84" s="3"/>
      <c r="S84" s="3"/>
      <c r="T84" s="3"/>
      <c r="U84" s="3"/>
      <c r="V84" s="3"/>
      <c r="W84" s="3"/>
      <c r="X84" s="3"/>
      <c r="Y84" s="3"/>
      <c r="Z84" s="3"/>
    </row>
    <row r="85" spans="1:26" ht="15.75" customHeight="1">
      <c r="A85" s="1"/>
      <c r="B85" s="2"/>
      <c r="C85" s="2"/>
      <c r="D85" s="2"/>
      <c r="E85" s="2"/>
      <c r="F85" s="2"/>
      <c r="G85" s="2"/>
      <c r="H85" s="3"/>
      <c r="I85" s="3"/>
      <c r="J85" s="3"/>
      <c r="K85" s="3"/>
      <c r="L85" s="3"/>
      <c r="M85" s="3"/>
      <c r="N85" s="3"/>
      <c r="O85" s="3"/>
      <c r="P85" s="3"/>
      <c r="Q85" s="3"/>
      <c r="R85" s="3"/>
      <c r="S85" s="3"/>
      <c r="T85" s="3"/>
      <c r="U85" s="3"/>
      <c r="V85" s="3"/>
      <c r="W85" s="3"/>
      <c r="X85" s="3"/>
      <c r="Y85" s="3"/>
      <c r="Z85" s="3"/>
    </row>
    <row r="86" spans="1:26" ht="15.75" customHeight="1">
      <c r="A86" s="1"/>
      <c r="B86" s="2"/>
      <c r="C86" s="2"/>
      <c r="D86" s="2"/>
      <c r="E86" s="2"/>
      <c r="F86" s="2"/>
      <c r="G86" s="2"/>
      <c r="H86" s="3"/>
      <c r="I86" s="3"/>
      <c r="J86" s="3"/>
      <c r="K86" s="3"/>
      <c r="L86" s="3"/>
      <c r="M86" s="3"/>
      <c r="N86" s="3"/>
      <c r="O86" s="3"/>
      <c r="P86" s="3"/>
      <c r="Q86" s="3"/>
      <c r="R86" s="3"/>
      <c r="S86" s="3"/>
      <c r="T86" s="3"/>
      <c r="U86" s="3"/>
      <c r="V86" s="3"/>
      <c r="W86" s="3"/>
      <c r="X86" s="3"/>
      <c r="Y86" s="3"/>
      <c r="Z86" s="3"/>
    </row>
    <row r="87" spans="1:26" ht="15.75" customHeight="1">
      <c r="A87" s="1"/>
      <c r="B87" s="2"/>
      <c r="C87" s="2"/>
      <c r="D87" s="2"/>
      <c r="E87" s="2"/>
      <c r="F87" s="2"/>
      <c r="G87" s="2"/>
      <c r="H87" s="3"/>
      <c r="I87" s="3"/>
      <c r="J87" s="3"/>
      <c r="K87" s="3"/>
      <c r="L87" s="3"/>
      <c r="M87" s="3"/>
      <c r="N87" s="3"/>
      <c r="O87" s="3"/>
      <c r="P87" s="3"/>
      <c r="Q87" s="3"/>
      <c r="R87" s="3"/>
      <c r="S87" s="3"/>
      <c r="T87" s="3"/>
      <c r="U87" s="3"/>
      <c r="V87" s="3"/>
      <c r="W87" s="3"/>
      <c r="X87" s="3"/>
      <c r="Y87" s="3"/>
      <c r="Z87" s="3"/>
    </row>
    <row r="88" spans="1:26" ht="15.75" customHeight="1">
      <c r="A88" s="1"/>
      <c r="B88" s="2"/>
      <c r="C88" s="2"/>
      <c r="D88" s="2"/>
      <c r="E88" s="2"/>
      <c r="F88" s="2"/>
      <c r="G88" s="2"/>
      <c r="H88" s="3"/>
      <c r="I88" s="3"/>
      <c r="J88" s="3"/>
      <c r="K88" s="3"/>
      <c r="L88" s="3"/>
      <c r="M88" s="3"/>
      <c r="N88" s="3"/>
      <c r="O88" s="3"/>
      <c r="P88" s="3"/>
      <c r="Q88" s="3"/>
      <c r="R88" s="3"/>
      <c r="S88" s="3"/>
      <c r="T88" s="3"/>
      <c r="U88" s="3"/>
      <c r="V88" s="3"/>
      <c r="W88" s="3"/>
      <c r="X88" s="3"/>
      <c r="Y88" s="3"/>
      <c r="Z88" s="3"/>
    </row>
    <row r="89" spans="1:26" ht="15.75" customHeight="1">
      <c r="A89" s="1"/>
      <c r="B89" s="2"/>
      <c r="C89" s="2"/>
      <c r="D89" s="2"/>
      <c r="E89" s="2"/>
      <c r="F89" s="2"/>
      <c r="G89" s="2"/>
      <c r="H89" s="3"/>
      <c r="I89" s="3"/>
      <c r="J89" s="3"/>
      <c r="K89" s="3"/>
      <c r="L89" s="3"/>
      <c r="M89" s="3"/>
      <c r="N89" s="3"/>
      <c r="O89" s="3"/>
      <c r="P89" s="3"/>
      <c r="Q89" s="3"/>
      <c r="R89" s="3"/>
      <c r="S89" s="3"/>
      <c r="T89" s="3"/>
      <c r="U89" s="3"/>
      <c r="V89" s="3"/>
      <c r="W89" s="3"/>
      <c r="X89" s="3"/>
      <c r="Y89" s="3"/>
      <c r="Z89" s="3"/>
    </row>
    <row r="90" spans="1:26" ht="15.75" customHeight="1">
      <c r="A90" s="1"/>
      <c r="B90" s="2"/>
      <c r="C90" s="2"/>
      <c r="D90" s="2"/>
      <c r="E90" s="2"/>
      <c r="F90" s="2"/>
      <c r="G90" s="2"/>
      <c r="H90" s="3"/>
      <c r="I90" s="3"/>
      <c r="J90" s="3"/>
      <c r="K90" s="3"/>
      <c r="L90" s="3"/>
      <c r="M90" s="3"/>
      <c r="N90" s="3"/>
      <c r="O90" s="3"/>
      <c r="P90" s="3"/>
      <c r="Q90" s="3"/>
      <c r="R90" s="3"/>
      <c r="S90" s="3"/>
      <c r="T90" s="3"/>
      <c r="U90" s="3"/>
      <c r="V90" s="3"/>
      <c r="W90" s="3"/>
      <c r="X90" s="3"/>
      <c r="Y90" s="3"/>
      <c r="Z90" s="3"/>
    </row>
    <row r="91" spans="1:26" ht="15.75" customHeight="1">
      <c r="A91" s="1"/>
      <c r="B91" s="2"/>
      <c r="C91" s="2"/>
      <c r="D91" s="2"/>
      <c r="E91" s="2"/>
      <c r="F91" s="2"/>
      <c r="G91" s="2"/>
      <c r="H91" s="3"/>
      <c r="I91" s="3"/>
      <c r="J91" s="3"/>
      <c r="K91" s="3"/>
      <c r="L91" s="3"/>
      <c r="M91" s="3"/>
      <c r="N91" s="3"/>
      <c r="O91" s="3"/>
      <c r="P91" s="3"/>
      <c r="Q91" s="3"/>
      <c r="R91" s="3"/>
      <c r="S91" s="3"/>
      <c r="T91" s="3"/>
      <c r="U91" s="3"/>
      <c r="V91" s="3"/>
      <c r="W91" s="3"/>
      <c r="X91" s="3"/>
      <c r="Y91" s="3"/>
      <c r="Z91" s="3"/>
    </row>
    <row r="92" spans="1:26" ht="15.75" customHeight="1">
      <c r="A92" s="1"/>
      <c r="B92" s="2"/>
      <c r="C92" s="2"/>
      <c r="D92" s="2"/>
      <c r="E92" s="2"/>
      <c r="F92" s="2"/>
      <c r="G92" s="2"/>
      <c r="H92" s="3"/>
      <c r="I92" s="3"/>
      <c r="J92" s="3"/>
      <c r="K92" s="3"/>
      <c r="L92" s="3"/>
      <c r="M92" s="3"/>
      <c r="N92" s="3"/>
      <c r="O92" s="3"/>
      <c r="P92" s="3"/>
      <c r="Q92" s="3"/>
      <c r="R92" s="3"/>
      <c r="S92" s="3"/>
      <c r="T92" s="3"/>
      <c r="U92" s="3"/>
      <c r="V92" s="3"/>
      <c r="W92" s="3"/>
      <c r="X92" s="3"/>
      <c r="Y92" s="3"/>
      <c r="Z92" s="3"/>
    </row>
    <row r="93" spans="1:26" ht="15.75" customHeight="1">
      <c r="A93" s="1"/>
      <c r="B93" s="2"/>
      <c r="C93" s="2"/>
      <c r="D93" s="2"/>
      <c r="E93" s="2"/>
      <c r="F93" s="2"/>
      <c r="G93" s="2"/>
      <c r="H93" s="3"/>
      <c r="I93" s="3"/>
      <c r="J93" s="3"/>
      <c r="K93" s="3"/>
      <c r="L93" s="3"/>
      <c r="M93" s="3"/>
      <c r="N93" s="3"/>
      <c r="O93" s="3"/>
      <c r="P93" s="3"/>
      <c r="Q93" s="3"/>
      <c r="R93" s="3"/>
      <c r="S93" s="3"/>
      <c r="T93" s="3"/>
      <c r="U93" s="3"/>
      <c r="V93" s="3"/>
      <c r="W93" s="3"/>
      <c r="X93" s="3"/>
      <c r="Y93" s="3"/>
      <c r="Z93" s="3"/>
    </row>
    <row r="94" spans="1:26" ht="15.75" customHeight="1">
      <c r="A94" s="1"/>
      <c r="B94" s="2"/>
      <c r="C94" s="2"/>
      <c r="D94" s="2"/>
      <c r="E94" s="2"/>
      <c r="F94" s="2"/>
      <c r="G94" s="2"/>
      <c r="H94" s="3"/>
      <c r="I94" s="3"/>
      <c r="J94" s="3"/>
      <c r="K94" s="3"/>
      <c r="L94" s="3"/>
      <c r="M94" s="3"/>
      <c r="N94" s="3"/>
      <c r="O94" s="3"/>
      <c r="P94" s="3"/>
      <c r="Q94" s="3"/>
      <c r="R94" s="3"/>
      <c r="S94" s="3"/>
      <c r="T94" s="3"/>
      <c r="U94" s="3"/>
      <c r="V94" s="3"/>
      <c r="W94" s="3"/>
      <c r="X94" s="3"/>
      <c r="Y94" s="3"/>
      <c r="Z94" s="3"/>
    </row>
    <row r="95" spans="1:26" ht="15.75" customHeight="1">
      <c r="A95" s="1"/>
      <c r="B95" s="2"/>
      <c r="C95" s="2"/>
      <c r="D95" s="2"/>
      <c r="E95" s="2"/>
      <c r="F95" s="2"/>
      <c r="G95" s="2"/>
      <c r="H95" s="3"/>
      <c r="I95" s="3"/>
      <c r="J95" s="3"/>
      <c r="K95" s="3"/>
      <c r="L95" s="3"/>
      <c r="M95" s="3"/>
      <c r="N95" s="3"/>
      <c r="O95" s="3"/>
      <c r="P95" s="3"/>
      <c r="Q95" s="3"/>
      <c r="R95" s="3"/>
      <c r="S95" s="3"/>
      <c r="T95" s="3"/>
      <c r="U95" s="3"/>
      <c r="V95" s="3"/>
      <c r="W95" s="3"/>
      <c r="X95" s="3"/>
      <c r="Y95" s="3"/>
      <c r="Z95" s="3"/>
    </row>
    <row r="96" spans="1:26" ht="15.75" customHeight="1">
      <c r="A96" s="1"/>
      <c r="B96" s="2"/>
      <c r="C96" s="2"/>
      <c r="D96" s="2"/>
      <c r="E96" s="2"/>
      <c r="F96" s="2"/>
      <c r="G96" s="2"/>
      <c r="H96" s="3"/>
      <c r="I96" s="3"/>
      <c r="J96" s="3"/>
      <c r="K96" s="3"/>
      <c r="L96" s="3"/>
      <c r="M96" s="3"/>
      <c r="N96" s="3"/>
      <c r="O96" s="3"/>
      <c r="P96" s="3"/>
      <c r="Q96" s="3"/>
      <c r="R96" s="3"/>
      <c r="S96" s="3"/>
      <c r="T96" s="3"/>
      <c r="U96" s="3"/>
      <c r="V96" s="3"/>
      <c r="W96" s="3"/>
      <c r="X96" s="3"/>
      <c r="Y96" s="3"/>
      <c r="Z96" s="3"/>
    </row>
    <row r="97" spans="1:26" ht="15.75" customHeight="1">
      <c r="A97" s="1"/>
      <c r="B97" s="2"/>
      <c r="C97" s="2"/>
      <c r="D97" s="2"/>
      <c r="E97" s="2"/>
      <c r="F97" s="2"/>
      <c r="G97" s="2"/>
      <c r="H97" s="3"/>
      <c r="I97" s="3"/>
      <c r="J97" s="3"/>
      <c r="K97" s="3"/>
      <c r="L97" s="3"/>
      <c r="M97" s="3"/>
      <c r="N97" s="3"/>
      <c r="O97" s="3"/>
      <c r="P97" s="3"/>
      <c r="Q97" s="3"/>
      <c r="R97" s="3"/>
      <c r="S97" s="3"/>
      <c r="T97" s="3"/>
      <c r="U97" s="3"/>
      <c r="V97" s="3"/>
      <c r="W97" s="3"/>
      <c r="X97" s="3"/>
      <c r="Y97" s="3"/>
      <c r="Z97" s="3"/>
    </row>
    <row r="98" spans="1:26" ht="15.75" customHeight="1">
      <c r="A98" s="1"/>
      <c r="B98" s="2"/>
      <c r="C98" s="2"/>
      <c r="D98" s="2"/>
      <c r="E98" s="2"/>
      <c r="F98" s="2"/>
      <c r="G98" s="2"/>
      <c r="H98" s="3"/>
      <c r="I98" s="3"/>
      <c r="J98" s="3"/>
      <c r="K98" s="3"/>
      <c r="L98" s="3"/>
      <c r="M98" s="3"/>
      <c r="N98" s="3"/>
      <c r="O98" s="3"/>
      <c r="P98" s="3"/>
      <c r="Q98" s="3"/>
      <c r="R98" s="3"/>
      <c r="S98" s="3"/>
      <c r="T98" s="3"/>
      <c r="U98" s="3"/>
      <c r="V98" s="3"/>
      <c r="W98" s="3"/>
      <c r="X98" s="3"/>
      <c r="Y98" s="3"/>
      <c r="Z98" s="3"/>
    </row>
    <row r="99" spans="1:26" ht="15.75" customHeight="1">
      <c r="A99" s="1"/>
      <c r="B99" s="2"/>
      <c r="C99" s="2"/>
      <c r="D99" s="2"/>
      <c r="E99" s="2"/>
      <c r="F99" s="2"/>
      <c r="G99" s="2"/>
      <c r="H99" s="3"/>
      <c r="I99" s="3"/>
      <c r="J99" s="3"/>
      <c r="K99" s="3"/>
      <c r="L99" s="3"/>
      <c r="M99" s="3"/>
      <c r="N99" s="3"/>
      <c r="O99" s="3"/>
      <c r="P99" s="3"/>
      <c r="Q99" s="3"/>
      <c r="R99" s="3"/>
      <c r="S99" s="3"/>
      <c r="T99" s="3"/>
      <c r="U99" s="3"/>
      <c r="V99" s="3"/>
      <c r="W99" s="3"/>
      <c r="X99" s="3"/>
      <c r="Y99" s="3"/>
      <c r="Z99" s="3"/>
    </row>
    <row r="100" spans="1:26" ht="15.75" customHeight="1">
      <c r="A100" s="1"/>
      <c r="B100" s="2"/>
      <c r="C100" s="2"/>
      <c r="D100" s="2"/>
      <c r="E100" s="2"/>
      <c r="F100" s="2"/>
      <c r="G100" s="2"/>
      <c r="H100" s="3"/>
      <c r="I100" s="3"/>
      <c r="J100" s="3"/>
      <c r="K100" s="3"/>
      <c r="L100" s="3"/>
      <c r="M100" s="3"/>
      <c r="N100" s="3"/>
      <c r="O100" s="3"/>
      <c r="P100" s="3"/>
      <c r="Q100" s="3"/>
      <c r="R100" s="3"/>
      <c r="S100" s="3"/>
      <c r="T100" s="3"/>
      <c r="U100" s="3"/>
      <c r="V100" s="3"/>
      <c r="W100" s="3"/>
      <c r="X100" s="3"/>
      <c r="Y100" s="3"/>
      <c r="Z100" s="3"/>
    </row>
    <row r="101" spans="1:26" ht="15.75" customHeight="1">
      <c r="A101" s="1"/>
      <c r="B101" s="2"/>
      <c r="C101" s="2"/>
      <c r="D101" s="2"/>
      <c r="E101" s="2"/>
      <c r="F101" s="2"/>
      <c r="G101" s="2"/>
      <c r="H101" s="3"/>
      <c r="I101" s="3"/>
      <c r="J101" s="3"/>
      <c r="K101" s="3"/>
      <c r="L101" s="3"/>
      <c r="M101" s="3"/>
      <c r="N101" s="3"/>
      <c r="O101" s="3"/>
      <c r="P101" s="3"/>
      <c r="Q101" s="3"/>
      <c r="R101" s="3"/>
      <c r="S101" s="3"/>
      <c r="T101" s="3"/>
      <c r="U101" s="3"/>
      <c r="V101" s="3"/>
      <c r="W101" s="3"/>
      <c r="X101" s="3"/>
      <c r="Y101" s="3"/>
      <c r="Z101" s="3"/>
    </row>
    <row r="102" spans="1:26" ht="15.75" customHeight="1">
      <c r="A102" s="1"/>
      <c r="B102" s="2"/>
      <c r="C102" s="2"/>
      <c r="D102" s="2"/>
      <c r="E102" s="2"/>
      <c r="F102" s="2"/>
      <c r="G102" s="2"/>
      <c r="H102" s="3"/>
      <c r="I102" s="3"/>
      <c r="J102" s="3"/>
      <c r="K102" s="3"/>
      <c r="L102" s="3"/>
      <c r="M102" s="3"/>
      <c r="N102" s="3"/>
      <c r="O102" s="3"/>
      <c r="P102" s="3"/>
      <c r="Q102" s="3"/>
      <c r="R102" s="3"/>
      <c r="S102" s="3"/>
      <c r="T102" s="3"/>
      <c r="U102" s="3"/>
      <c r="V102" s="3"/>
      <c r="W102" s="3"/>
      <c r="X102" s="3"/>
      <c r="Y102" s="3"/>
      <c r="Z102" s="3"/>
    </row>
    <row r="103" spans="1:26" ht="15.75" customHeight="1">
      <c r="A103" s="1"/>
      <c r="B103" s="2"/>
      <c r="C103" s="2"/>
      <c r="D103" s="2"/>
      <c r="E103" s="2"/>
      <c r="F103" s="2"/>
      <c r="G103" s="2"/>
      <c r="H103" s="3"/>
      <c r="I103" s="3"/>
      <c r="J103" s="3"/>
      <c r="K103" s="3"/>
      <c r="L103" s="3"/>
      <c r="M103" s="3"/>
      <c r="N103" s="3"/>
      <c r="O103" s="3"/>
      <c r="P103" s="3"/>
      <c r="Q103" s="3"/>
      <c r="R103" s="3"/>
      <c r="S103" s="3"/>
      <c r="T103" s="3"/>
      <c r="U103" s="3"/>
      <c r="V103" s="3"/>
      <c r="W103" s="3"/>
      <c r="X103" s="3"/>
      <c r="Y103" s="3"/>
      <c r="Z103" s="3"/>
    </row>
    <row r="104" spans="1:26" ht="15.75" customHeight="1">
      <c r="A104" s="1"/>
      <c r="B104" s="2"/>
      <c r="C104" s="2"/>
      <c r="D104" s="2"/>
      <c r="E104" s="2"/>
      <c r="F104" s="2"/>
      <c r="G104" s="2"/>
      <c r="H104" s="3"/>
      <c r="I104" s="3"/>
      <c r="J104" s="3"/>
      <c r="K104" s="3"/>
      <c r="L104" s="3"/>
      <c r="M104" s="3"/>
      <c r="N104" s="3"/>
      <c r="O104" s="3"/>
      <c r="P104" s="3"/>
      <c r="Q104" s="3"/>
      <c r="R104" s="3"/>
      <c r="S104" s="3"/>
      <c r="T104" s="3"/>
      <c r="U104" s="3"/>
      <c r="V104" s="3"/>
      <c r="W104" s="3"/>
      <c r="X104" s="3"/>
      <c r="Y104" s="3"/>
      <c r="Z104" s="3"/>
    </row>
    <row r="105" spans="1:26" ht="15.75" customHeight="1">
      <c r="A105" s="1"/>
      <c r="B105" s="2"/>
      <c r="C105" s="2"/>
      <c r="D105" s="2"/>
      <c r="E105" s="2"/>
      <c r="F105" s="2"/>
      <c r="G105" s="2"/>
      <c r="H105" s="3"/>
      <c r="I105" s="3"/>
      <c r="J105" s="3"/>
      <c r="K105" s="3"/>
      <c r="L105" s="3"/>
      <c r="M105" s="3"/>
      <c r="N105" s="3"/>
      <c r="O105" s="3"/>
      <c r="P105" s="3"/>
      <c r="Q105" s="3"/>
      <c r="R105" s="3"/>
      <c r="S105" s="3"/>
      <c r="T105" s="3"/>
      <c r="U105" s="3"/>
      <c r="V105" s="3"/>
      <c r="W105" s="3"/>
      <c r="X105" s="3"/>
      <c r="Y105" s="3"/>
      <c r="Z105" s="3"/>
    </row>
    <row r="106" spans="1:26" ht="15.75" customHeight="1">
      <c r="A106" s="1"/>
      <c r="B106" s="2"/>
      <c r="C106" s="2"/>
      <c r="D106" s="2"/>
      <c r="E106" s="2"/>
      <c r="F106" s="2"/>
      <c r="G106" s="2"/>
      <c r="H106" s="3"/>
      <c r="I106" s="3"/>
      <c r="J106" s="3"/>
      <c r="K106" s="3"/>
      <c r="L106" s="3"/>
      <c r="M106" s="3"/>
      <c r="N106" s="3"/>
      <c r="O106" s="3"/>
      <c r="P106" s="3"/>
      <c r="Q106" s="3"/>
      <c r="R106" s="3"/>
      <c r="S106" s="3"/>
      <c r="T106" s="3"/>
      <c r="U106" s="3"/>
      <c r="V106" s="3"/>
      <c r="W106" s="3"/>
      <c r="X106" s="3"/>
      <c r="Y106" s="3"/>
      <c r="Z106" s="3"/>
    </row>
    <row r="107" spans="1:26" ht="15.75" customHeight="1">
      <c r="A107" s="1"/>
      <c r="B107" s="2"/>
      <c r="C107" s="2"/>
      <c r="D107" s="2"/>
      <c r="E107" s="2"/>
      <c r="F107" s="2"/>
      <c r="G107" s="2"/>
      <c r="H107" s="3"/>
      <c r="I107" s="3"/>
      <c r="J107" s="3"/>
      <c r="K107" s="3"/>
      <c r="L107" s="3"/>
      <c r="M107" s="3"/>
      <c r="N107" s="3"/>
      <c r="O107" s="3"/>
      <c r="P107" s="3"/>
      <c r="Q107" s="3"/>
      <c r="R107" s="3"/>
      <c r="S107" s="3"/>
      <c r="T107" s="3"/>
      <c r="U107" s="3"/>
      <c r="V107" s="3"/>
      <c r="W107" s="3"/>
      <c r="X107" s="3"/>
      <c r="Y107" s="3"/>
      <c r="Z107" s="3"/>
    </row>
    <row r="108" spans="1:26" ht="15.75" customHeight="1">
      <c r="A108" s="1"/>
      <c r="B108" s="2"/>
      <c r="C108" s="2"/>
      <c r="D108" s="2"/>
      <c r="E108" s="2"/>
      <c r="F108" s="2"/>
      <c r="G108" s="2"/>
      <c r="H108" s="3"/>
      <c r="I108" s="3"/>
      <c r="J108" s="3"/>
      <c r="K108" s="3"/>
      <c r="L108" s="3"/>
      <c r="M108" s="3"/>
      <c r="N108" s="3"/>
      <c r="O108" s="3"/>
      <c r="P108" s="3"/>
      <c r="Q108" s="3"/>
      <c r="R108" s="3"/>
      <c r="S108" s="3"/>
      <c r="T108" s="3"/>
      <c r="U108" s="3"/>
      <c r="V108" s="3"/>
      <c r="W108" s="3"/>
      <c r="X108" s="3"/>
      <c r="Y108" s="3"/>
      <c r="Z108" s="3"/>
    </row>
    <row r="109" spans="1:26" ht="15.75" customHeight="1">
      <c r="A109" s="1"/>
      <c r="B109" s="2"/>
      <c r="C109" s="2"/>
      <c r="D109" s="2"/>
      <c r="E109" s="2"/>
      <c r="F109" s="2"/>
      <c r="G109" s="2"/>
      <c r="H109" s="3"/>
      <c r="I109" s="3"/>
      <c r="J109" s="3"/>
      <c r="K109" s="3"/>
      <c r="L109" s="3"/>
      <c r="M109" s="3"/>
      <c r="N109" s="3"/>
      <c r="O109" s="3"/>
      <c r="P109" s="3"/>
      <c r="Q109" s="3"/>
      <c r="R109" s="3"/>
      <c r="S109" s="3"/>
      <c r="T109" s="3"/>
      <c r="U109" s="3"/>
      <c r="V109" s="3"/>
      <c r="W109" s="3"/>
      <c r="X109" s="3"/>
      <c r="Y109" s="3"/>
      <c r="Z109" s="3"/>
    </row>
    <row r="110" spans="1:26" ht="15.75" customHeight="1">
      <c r="A110" s="1"/>
      <c r="B110" s="2"/>
      <c r="C110" s="2"/>
      <c r="D110" s="2"/>
      <c r="E110" s="2"/>
      <c r="F110" s="2"/>
      <c r="G110" s="2"/>
      <c r="H110" s="3"/>
      <c r="I110" s="3"/>
      <c r="J110" s="3"/>
      <c r="K110" s="3"/>
      <c r="L110" s="3"/>
      <c r="M110" s="3"/>
      <c r="N110" s="3"/>
      <c r="O110" s="3"/>
      <c r="P110" s="3"/>
      <c r="Q110" s="3"/>
      <c r="R110" s="3"/>
      <c r="S110" s="3"/>
      <c r="T110" s="3"/>
      <c r="U110" s="3"/>
      <c r="V110" s="3"/>
      <c r="W110" s="3"/>
      <c r="X110" s="3"/>
      <c r="Y110" s="3"/>
      <c r="Z110" s="3"/>
    </row>
    <row r="111" spans="1:26" ht="15.75" customHeight="1">
      <c r="A111" s="1"/>
      <c r="B111" s="2"/>
      <c r="C111" s="2"/>
      <c r="D111" s="2"/>
      <c r="E111" s="2"/>
      <c r="F111" s="2"/>
      <c r="G111" s="2"/>
      <c r="H111" s="3"/>
      <c r="I111" s="3"/>
      <c r="J111" s="3"/>
      <c r="K111" s="3"/>
      <c r="L111" s="3"/>
      <c r="M111" s="3"/>
      <c r="N111" s="3"/>
      <c r="O111" s="3"/>
      <c r="P111" s="3"/>
      <c r="Q111" s="3"/>
      <c r="R111" s="3"/>
      <c r="S111" s="3"/>
      <c r="T111" s="3"/>
      <c r="U111" s="3"/>
      <c r="V111" s="3"/>
      <c r="W111" s="3"/>
      <c r="X111" s="3"/>
      <c r="Y111" s="3"/>
      <c r="Z111" s="3"/>
    </row>
    <row r="112" spans="1:26" ht="15.75" customHeight="1">
      <c r="A112" s="1"/>
      <c r="B112" s="2"/>
      <c r="C112" s="2"/>
      <c r="D112" s="2"/>
      <c r="E112" s="2"/>
      <c r="F112" s="2"/>
      <c r="G112" s="2"/>
      <c r="H112" s="3"/>
      <c r="I112" s="3"/>
      <c r="J112" s="3"/>
      <c r="K112" s="3"/>
      <c r="L112" s="3"/>
      <c r="M112" s="3"/>
      <c r="N112" s="3"/>
      <c r="O112" s="3"/>
      <c r="P112" s="3"/>
      <c r="Q112" s="3"/>
      <c r="R112" s="3"/>
      <c r="S112" s="3"/>
      <c r="T112" s="3"/>
      <c r="U112" s="3"/>
      <c r="V112" s="3"/>
      <c r="W112" s="3"/>
      <c r="X112" s="3"/>
      <c r="Y112" s="3"/>
      <c r="Z112" s="3"/>
    </row>
    <row r="113" spans="1:26" ht="15.75" customHeight="1">
      <c r="A113" s="1"/>
      <c r="B113" s="2"/>
      <c r="C113" s="2"/>
      <c r="D113" s="2"/>
      <c r="E113" s="2"/>
      <c r="F113" s="2"/>
      <c r="G113" s="2"/>
      <c r="H113" s="3"/>
      <c r="I113" s="3"/>
      <c r="J113" s="3"/>
      <c r="K113" s="3"/>
      <c r="L113" s="3"/>
      <c r="M113" s="3"/>
      <c r="N113" s="3"/>
      <c r="O113" s="3"/>
      <c r="P113" s="3"/>
      <c r="Q113" s="3"/>
      <c r="R113" s="3"/>
      <c r="S113" s="3"/>
      <c r="T113" s="3"/>
      <c r="U113" s="3"/>
      <c r="V113" s="3"/>
      <c r="W113" s="3"/>
      <c r="X113" s="3"/>
      <c r="Y113" s="3"/>
      <c r="Z113" s="3"/>
    </row>
    <row r="114" spans="1:26" ht="15.75" customHeight="1">
      <c r="A114" s="1"/>
      <c r="B114" s="2"/>
      <c r="C114" s="2"/>
      <c r="D114" s="2"/>
      <c r="E114" s="2"/>
      <c r="F114" s="2"/>
      <c r="G114" s="2"/>
      <c r="H114" s="3"/>
      <c r="I114" s="3"/>
      <c r="J114" s="3"/>
      <c r="K114" s="3"/>
      <c r="L114" s="3"/>
      <c r="M114" s="3"/>
      <c r="N114" s="3"/>
      <c r="O114" s="3"/>
      <c r="P114" s="3"/>
      <c r="Q114" s="3"/>
      <c r="R114" s="3"/>
      <c r="S114" s="3"/>
      <c r="T114" s="3"/>
      <c r="U114" s="3"/>
      <c r="V114" s="3"/>
      <c r="W114" s="3"/>
      <c r="X114" s="3"/>
      <c r="Y114" s="3"/>
      <c r="Z114" s="3"/>
    </row>
    <row r="115" spans="1:26" ht="15.75" customHeight="1">
      <c r="A115" s="1"/>
      <c r="B115" s="2"/>
      <c r="C115" s="2"/>
      <c r="D115" s="2"/>
      <c r="E115" s="2"/>
      <c r="F115" s="2"/>
      <c r="G115" s="2"/>
      <c r="H115" s="3"/>
      <c r="I115" s="3"/>
      <c r="J115" s="3"/>
      <c r="K115" s="3"/>
      <c r="L115" s="3"/>
      <c r="M115" s="3"/>
      <c r="N115" s="3"/>
      <c r="O115" s="3"/>
      <c r="P115" s="3"/>
      <c r="Q115" s="3"/>
      <c r="R115" s="3"/>
      <c r="S115" s="3"/>
      <c r="T115" s="3"/>
      <c r="U115" s="3"/>
      <c r="V115" s="3"/>
      <c r="W115" s="3"/>
      <c r="X115" s="3"/>
      <c r="Y115" s="3"/>
      <c r="Z115" s="3"/>
    </row>
    <row r="116" spans="1:26" ht="15.75" customHeight="1">
      <c r="A116" s="1"/>
      <c r="B116" s="2"/>
      <c r="C116" s="2"/>
      <c r="D116" s="2"/>
      <c r="E116" s="2"/>
      <c r="F116" s="2"/>
      <c r="G116" s="2"/>
      <c r="H116" s="3"/>
      <c r="I116" s="3"/>
      <c r="J116" s="3"/>
      <c r="K116" s="3"/>
      <c r="L116" s="3"/>
      <c r="M116" s="3"/>
      <c r="N116" s="3"/>
      <c r="O116" s="3"/>
      <c r="P116" s="3"/>
      <c r="Q116" s="3"/>
      <c r="R116" s="3"/>
      <c r="S116" s="3"/>
      <c r="T116" s="3"/>
      <c r="U116" s="3"/>
      <c r="V116" s="3"/>
      <c r="W116" s="3"/>
      <c r="X116" s="3"/>
      <c r="Y116" s="3"/>
      <c r="Z116" s="3"/>
    </row>
    <row r="117" spans="1:26" ht="15.75" customHeight="1">
      <c r="A117" s="1"/>
      <c r="B117" s="2"/>
      <c r="C117" s="2"/>
      <c r="D117" s="2"/>
      <c r="E117" s="2"/>
      <c r="F117" s="2"/>
      <c r="G117" s="2"/>
      <c r="H117" s="3"/>
      <c r="I117" s="3"/>
      <c r="J117" s="3"/>
      <c r="K117" s="3"/>
      <c r="L117" s="3"/>
      <c r="M117" s="3"/>
      <c r="N117" s="3"/>
      <c r="O117" s="3"/>
      <c r="P117" s="3"/>
      <c r="Q117" s="3"/>
      <c r="R117" s="3"/>
      <c r="S117" s="3"/>
      <c r="T117" s="3"/>
      <c r="U117" s="3"/>
      <c r="V117" s="3"/>
      <c r="W117" s="3"/>
      <c r="X117" s="3"/>
      <c r="Y117" s="3"/>
      <c r="Z117" s="3"/>
    </row>
    <row r="118" spans="1:26" ht="15.75" customHeight="1">
      <c r="A118" s="1"/>
      <c r="B118" s="2"/>
      <c r="C118" s="2"/>
      <c r="D118" s="2"/>
      <c r="E118" s="2"/>
      <c r="F118" s="2"/>
      <c r="G118" s="2"/>
      <c r="H118" s="3"/>
      <c r="I118" s="3"/>
      <c r="J118" s="3"/>
      <c r="K118" s="3"/>
      <c r="L118" s="3"/>
      <c r="M118" s="3"/>
      <c r="N118" s="3"/>
      <c r="O118" s="3"/>
      <c r="P118" s="3"/>
      <c r="Q118" s="3"/>
      <c r="R118" s="3"/>
      <c r="S118" s="3"/>
      <c r="T118" s="3"/>
      <c r="U118" s="3"/>
      <c r="V118" s="3"/>
      <c r="W118" s="3"/>
      <c r="X118" s="3"/>
      <c r="Y118" s="3"/>
      <c r="Z118" s="3"/>
    </row>
    <row r="119" spans="1:26" ht="15.75" customHeight="1">
      <c r="A119" s="1"/>
      <c r="B119" s="2"/>
      <c r="C119" s="2"/>
      <c r="D119" s="2"/>
      <c r="E119" s="2"/>
      <c r="F119" s="2"/>
      <c r="G119" s="2"/>
      <c r="H119" s="3"/>
      <c r="I119" s="3"/>
      <c r="J119" s="3"/>
      <c r="K119" s="3"/>
      <c r="L119" s="3"/>
      <c r="M119" s="3"/>
      <c r="N119" s="3"/>
      <c r="O119" s="3"/>
      <c r="P119" s="3"/>
      <c r="Q119" s="3"/>
      <c r="R119" s="3"/>
      <c r="S119" s="3"/>
      <c r="T119" s="3"/>
      <c r="U119" s="3"/>
      <c r="V119" s="3"/>
      <c r="W119" s="3"/>
      <c r="X119" s="3"/>
      <c r="Y119" s="3"/>
      <c r="Z119" s="3"/>
    </row>
    <row r="120" spans="1:26" ht="15.75" customHeight="1">
      <c r="A120" s="1"/>
      <c r="B120" s="2"/>
      <c r="C120" s="2"/>
      <c r="D120" s="2"/>
      <c r="E120" s="2"/>
      <c r="F120" s="2"/>
      <c r="G120" s="2"/>
      <c r="H120" s="3"/>
      <c r="I120" s="3"/>
      <c r="J120" s="3"/>
      <c r="K120" s="3"/>
      <c r="L120" s="3"/>
      <c r="M120" s="3"/>
      <c r="N120" s="3"/>
      <c r="O120" s="3"/>
      <c r="P120" s="3"/>
      <c r="Q120" s="3"/>
      <c r="R120" s="3"/>
      <c r="S120" s="3"/>
      <c r="T120" s="3"/>
      <c r="U120" s="3"/>
      <c r="V120" s="3"/>
      <c r="W120" s="3"/>
      <c r="X120" s="3"/>
      <c r="Y120" s="3"/>
      <c r="Z120" s="3"/>
    </row>
    <row r="121" spans="1:26" ht="15.75" customHeight="1">
      <c r="A121" s="1"/>
      <c r="B121" s="2"/>
      <c r="C121" s="2"/>
      <c r="D121" s="2"/>
      <c r="E121" s="2"/>
      <c r="F121" s="2"/>
      <c r="G121" s="2"/>
      <c r="H121" s="3"/>
      <c r="I121" s="3"/>
      <c r="J121" s="3"/>
      <c r="K121" s="3"/>
      <c r="L121" s="3"/>
      <c r="M121" s="3"/>
      <c r="N121" s="3"/>
      <c r="O121" s="3"/>
      <c r="P121" s="3"/>
      <c r="Q121" s="3"/>
      <c r="R121" s="3"/>
      <c r="S121" s="3"/>
      <c r="T121" s="3"/>
      <c r="U121" s="3"/>
      <c r="V121" s="3"/>
      <c r="W121" s="3"/>
      <c r="X121" s="3"/>
      <c r="Y121" s="3"/>
      <c r="Z121" s="3"/>
    </row>
    <row r="122" spans="1:26" ht="15.75" customHeight="1">
      <c r="A122" s="1"/>
      <c r="B122" s="2"/>
      <c r="C122" s="2"/>
      <c r="D122" s="2"/>
      <c r="E122" s="2"/>
      <c r="F122" s="2"/>
      <c r="G122" s="2"/>
      <c r="H122" s="3"/>
      <c r="I122" s="3"/>
      <c r="J122" s="3"/>
      <c r="K122" s="3"/>
      <c r="L122" s="3"/>
      <c r="M122" s="3"/>
      <c r="N122" s="3"/>
      <c r="O122" s="3"/>
      <c r="P122" s="3"/>
      <c r="Q122" s="3"/>
      <c r="R122" s="3"/>
      <c r="S122" s="3"/>
      <c r="T122" s="3"/>
      <c r="U122" s="3"/>
      <c r="V122" s="3"/>
      <c r="W122" s="3"/>
      <c r="X122" s="3"/>
      <c r="Y122" s="3"/>
      <c r="Z122" s="3"/>
    </row>
    <row r="123" spans="1:26" ht="15.75" customHeight="1">
      <c r="A123" s="1"/>
      <c r="B123" s="2"/>
      <c r="C123" s="2"/>
      <c r="D123" s="2"/>
      <c r="E123" s="2"/>
      <c r="F123" s="2"/>
      <c r="G123" s="2"/>
      <c r="H123" s="3"/>
      <c r="I123" s="3"/>
      <c r="J123" s="3"/>
      <c r="K123" s="3"/>
      <c r="L123" s="3"/>
      <c r="M123" s="3"/>
      <c r="N123" s="3"/>
      <c r="O123" s="3"/>
      <c r="P123" s="3"/>
      <c r="Q123" s="3"/>
      <c r="R123" s="3"/>
      <c r="S123" s="3"/>
      <c r="T123" s="3"/>
      <c r="U123" s="3"/>
      <c r="V123" s="3"/>
      <c r="W123" s="3"/>
      <c r="X123" s="3"/>
      <c r="Y123" s="3"/>
      <c r="Z123" s="3"/>
    </row>
    <row r="124" spans="1:26" ht="15.75" customHeight="1">
      <c r="A124" s="1"/>
      <c r="B124" s="2"/>
      <c r="C124" s="2"/>
      <c r="D124" s="2"/>
      <c r="E124" s="2"/>
      <c r="F124" s="2"/>
      <c r="G124" s="2"/>
      <c r="H124" s="3"/>
      <c r="I124" s="3"/>
      <c r="J124" s="3"/>
      <c r="K124" s="3"/>
      <c r="L124" s="3"/>
      <c r="M124" s="3"/>
      <c r="N124" s="3"/>
      <c r="O124" s="3"/>
      <c r="P124" s="3"/>
      <c r="Q124" s="3"/>
      <c r="R124" s="3"/>
      <c r="S124" s="3"/>
      <c r="T124" s="3"/>
      <c r="U124" s="3"/>
      <c r="V124" s="3"/>
      <c r="W124" s="3"/>
      <c r="X124" s="3"/>
      <c r="Y124" s="3"/>
      <c r="Z124" s="3"/>
    </row>
    <row r="125" spans="1:26" ht="15.75" customHeight="1">
      <c r="A125" s="1"/>
      <c r="B125" s="2"/>
      <c r="C125" s="2"/>
      <c r="D125" s="2"/>
      <c r="E125" s="2"/>
      <c r="F125" s="2"/>
      <c r="G125" s="2"/>
      <c r="H125" s="3"/>
      <c r="I125" s="3"/>
      <c r="J125" s="3"/>
      <c r="K125" s="3"/>
      <c r="L125" s="3"/>
      <c r="M125" s="3"/>
      <c r="N125" s="3"/>
      <c r="O125" s="3"/>
      <c r="P125" s="3"/>
      <c r="Q125" s="3"/>
      <c r="R125" s="3"/>
      <c r="S125" s="3"/>
      <c r="T125" s="3"/>
      <c r="U125" s="3"/>
      <c r="V125" s="3"/>
      <c r="W125" s="3"/>
      <c r="X125" s="3"/>
      <c r="Y125" s="3"/>
      <c r="Z125" s="3"/>
    </row>
    <row r="126" spans="1:26" ht="15.75" customHeight="1">
      <c r="A126" s="1"/>
      <c r="B126" s="2"/>
      <c r="C126" s="2"/>
      <c r="D126" s="2"/>
      <c r="E126" s="2"/>
      <c r="F126" s="2"/>
      <c r="G126" s="2"/>
      <c r="H126" s="3"/>
      <c r="I126" s="3"/>
      <c r="J126" s="3"/>
      <c r="K126" s="3"/>
      <c r="L126" s="3"/>
      <c r="M126" s="3"/>
      <c r="N126" s="3"/>
      <c r="O126" s="3"/>
      <c r="P126" s="3"/>
      <c r="Q126" s="3"/>
      <c r="R126" s="3"/>
      <c r="S126" s="3"/>
      <c r="T126" s="3"/>
      <c r="U126" s="3"/>
      <c r="V126" s="3"/>
      <c r="W126" s="3"/>
      <c r="X126" s="3"/>
      <c r="Y126" s="3"/>
      <c r="Z126" s="3"/>
    </row>
    <row r="127" spans="1:26" ht="15.75" customHeight="1">
      <c r="A127" s="1"/>
      <c r="B127" s="2"/>
      <c r="C127" s="2"/>
      <c r="D127" s="2"/>
      <c r="E127" s="2"/>
      <c r="F127" s="2"/>
      <c r="G127" s="2"/>
      <c r="H127" s="3"/>
      <c r="I127" s="3"/>
      <c r="J127" s="3"/>
      <c r="K127" s="3"/>
      <c r="L127" s="3"/>
      <c r="M127" s="3"/>
      <c r="N127" s="3"/>
      <c r="O127" s="3"/>
      <c r="P127" s="3"/>
      <c r="Q127" s="3"/>
      <c r="R127" s="3"/>
      <c r="S127" s="3"/>
      <c r="T127" s="3"/>
      <c r="U127" s="3"/>
      <c r="V127" s="3"/>
      <c r="W127" s="3"/>
      <c r="X127" s="3"/>
      <c r="Y127" s="3"/>
      <c r="Z127" s="3"/>
    </row>
    <row r="128" spans="1:26" ht="15.75" customHeight="1">
      <c r="A128" s="1"/>
      <c r="B128" s="2"/>
      <c r="C128" s="2"/>
      <c r="D128" s="2"/>
      <c r="E128" s="2"/>
      <c r="F128" s="2"/>
      <c r="G128" s="2"/>
      <c r="H128" s="3"/>
      <c r="I128" s="3"/>
      <c r="J128" s="3"/>
      <c r="K128" s="3"/>
      <c r="L128" s="3"/>
      <c r="M128" s="3"/>
      <c r="N128" s="3"/>
      <c r="O128" s="3"/>
      <c r="P128" s="3"/>
      <c r="Q128" s="3"/>
      <c r="R128" s="3"/>
      <c r="S128" s="3"/>
      <c r="T128" s="3"/>
      <c r="U128" s="3"/>
      <c r="V128" s="3"/>
      <c r="W128" s="3"/>
      <c r="X128" s="3"/>
      <c r="Y128" s="3"/>
      <c r="Z128" s="3"/>
    </row>
    <row r="129" spans="1:26" ht="15.75" customHeight="1">
      <c r="A129" s="1"/>
      <c r="B129" s="2"/>
      <c r="C129" s="2"/>
      <c r="D129" s="2"/>
      <c r="E129" s="2"/>
      <c r="F129" s="2"/>
      <c r="G129" s="2"/>
      <c r="H129" s="3"/>
      <c r="I129" s="3"/>
      <c r="J129" s="3"/>
      <c r="K129" s="3"/>
      <c r="L129" s="3"/>
      <c r="M129" s="3"/>
      <c r="N129" s="3"/>
      <c r="O129" s="3"/>
      <c r="P129" s="3"/>
      <c r="Q129" s="3"/>
      <c r="R129" s="3"/>
      <c r="S129" s="3"/>
      <c r="T129" s="3"/>
      <c r="U129" s="3"/>
      <c r="V129" s="3"/>
      <c r="W129" s="3"/>
      <c r="X129" s="3"/>
      <c r="Y129" s="3"/>
      <c r="Z129" s="3"/>
    </row>
    <row r="130" spans="1:26" ht="15.75" customHeight="1">
      <c r="A130" s="1"/>
      <c r="B130" s="2"/>
      <c r="C130" s="2"/>
      <c r="D130" s="2"/>
      <c r="E130" s="2"/>
      <c r="F130" s="2"/>
      <c r="G130" s="2"/>
      <c r="H130" s="3"/>
      <c r="I130" s="3"/>
      <c r="J130" s="3"/>
      <c r="K130" s="3"/>
      <c r="L130" s="3"/>
      <c r="M130" s="3"/>
      <c r="N130" s="3"/>
      <c r="O130" s="3"/>
      <c r="P130" s="3"/>
      <c r="Q130" s="3"/>
      <c r="R130" s="3"/>
      <c r="S130" s="3"/>
      <c r="T130" s="3"/>
      <c r="U130" s="3"/>
      <c r="V130" s="3"/>
      <c r="W130" s="3"/>
      <c r="X130" s="3"/>
      <c r="Y130" s="3"/>
      <c r="Z130" s="3"/>
    </row>
    <row r="131" spans="1:26" ht="15.75" customHeight="1">
      <c r="A131" s="1"/>
      <c r="B131" s="2"/>
      <c r="C131" s="2"/>
      <c r="D131" s="2"/>
      <c r="E131" s="2"/>
      <c r="F131" s="2"/>
      <c r="G131" s="2"/>
      <c r="H131" s="3"/>
      <c r="I131" s="3"/>
      <c r="J131" s="3"/>
      <c r="K131" s="3"/>
      <c r="L131" s="3"/>
      <c r="M131" s="3"/>
      <c r="N131" s="3"/>
      <c r="O131" s="3"/>
      <c r="P131" s="3"/>
      <c r="Q131" s="3"/>
      <c r="R131" s="3"/>
      <c r="S131" s="3"/>
      <c r="T131" s="3"/>
      <c r="U131" s="3"/>
      <c r="V131" s="3"/>
      <c r="W131" s="3"/>
      <c r="X131" s="3"/>
      <c r="Y131" s="3"/>
      <c r="Z131" s="3"/>
    </row>
    <row r="132" spans="1:26" ht="15.75" customHeight="1">
      <c r="A132" s="1"/>
      <c r="B132" s="2"/>
      <c r="C132" s="2"/>
      <c r="D132" s="2"/>
      <c r="E132" s="2"/>
      <c r="F132" s="2"/>
      <c r="G132" s="2"/>
      <c r="H132" s="3"/>
      <c r="I132" s="3"/>
      <c r="J132" s="3"/>
      <c r="K132" s="3"/>
      <c r="L132" s="3"/>
      <c r="M132" s="3"/>
      <c r="N132" s="3"/>
      <c r="O132" s="3"/>
      <c r="P132" s="3"/>
      <c r="Q132" s="3"/>
      <c r="R132" s="3"/>
      <c r="S132" s="3"/>
      <c r="T132" s="3"/>
      <c r="U132" s="3"/>
      <c r="V132" s="3"/>
      <c r="W132" s="3"/>
      <c r="X132" s="3"/>
      <c r="Y132" s="3"/>
      <c r="Z132" s="3"/>
    </row>
    <row r="133" spans="1:26" ht="15.75" customHeight="1">
      <c r="A133" s="1"/>
      <c r="B133" s="2"/>
      <c r="C133" s="2"/>
      <c r="D133" s="2"/>
      <c r="E133" s="2"/>
      <c r="F133" s="2"/>
      <c r="G133" s="2"/>
      <c r="H133" s="3"/>
      <c r="I133" s="3"/>
      <c r="J133" s="3"/>
      <c r="K133" s="3"/>
      <c r="L133" s="3"/>
      <c r="M133" s="3"/>
      <c r="N133" s="3"/>
      <c r="O133" s="3"/>
      <c r="P133" s="3"/>
      <c r="Q133" s="3"/>
      <c r="R133" s="3"/>
      <c r="S133" s="3"/>
      <c r="T133" s="3"/>
      <c r="U133" s="3"/>
      <c r="V133" s="3"/>
      <c r="W133" s="3"/>
      <c r="X133" s="3"/>
      <c r="Y133" s="3"/>
      <c r="Z133" s="3"/>
    </row>
    <row r="134" spans="1:26" ht="15.75" customHeight="1">
      <c r="A134" s="1"/>
      <c r="B134" s="2"/>
      <c r="C134" s="2"/>
      <c r="D134" s="2"/>
      <c r="E134" s="2"/>
      <c r="F134" s="2"/>
      <c r="G134" s="2"/>
      <c r="H134" s="3"/>
      <c r="I134" s="3"/>
      <c r="J134" s="3"/>
      <c r="K134" s="3"/>
      <c r="L134" s="3"/>
      <c r="M134" s="3"/>
      <c r="N134" s="3"/>
      <c r="O134" s="3"/>
      <c r="P134" s="3"/>
      <c r="Q134" s="3"/>
      <c r="R134" s="3"/>
      <c r="S134" s="3"/>
      <c r="T134" s="3"/>
      <c r="U134" s="3"/>
      <c r="V134" s="3"/>
      <c r="W134" s="3"/>
      <c r="X134" s="3"/>
      <c r="Y134" s="3"/>
      <c r="Z134" s="3"/>
    </row>
    <row r="135" spans="1:26" ht="15.75" customHeight="1">
      <c r="A135" s="1"/>
      <c r="B135" s="2"/>
      <c r="C135" s="2"/>
      <c r="D135" s="2"/>
      <c r="E135" s="2"/>
      <c r="F135" s="2"/>
      <c r="G135" s="2"/>
      <c r="H135" s="3"/>
      <c r="I135" s="3"/>
      <c r="J135" s="3"/>
      <c r="K135" s="3"/>
      <c r="L135" s="3"/>
      <c r="M135" s="3"/>
      <c r="N135" s="3"/>
      <c r="O135" s="3"/>
      <c r="P135" s="3"/>
      <c r="Q135" s="3"/>
      <c r="R135" s="3"/>
      <c r="S135" s="3"/>
      <c r="T135" s="3"/>
      <c r="U135" s="3"/>
      <c r="V135" s="3"/>
      <c r="W135" s="3"/>
      <c r="X135" s="3"/>
      <c r="Y135" s="3"/>
      <c r="Z135" s="3"/>
    </row>
    <row r="136" spans="1:26" ht="15.75" customHeight="1">
      <c r="A136" s="1"/>
      <c r="B136" s="2"/>
      <c r="C136" s="2"/>
      <c r="D136" s="2"/>
      <c r="E136" s="2"/>
      <c r="F136" s="2"/>
      <c r="G136" s="2"/>
      <c r="H136" s="3"/>
      <c r="I136" s="3"/>
      <c r="J136" s="3"/>
      <c r="K136" s="3"/>
      <c r="L136" s="3"/>
      <c r="M136" s="3"/>
      <c r="N136" s="3"/>
      <c r="O136" s="3"/>
      <c r="P136" s="3"/>
      <c r="Q136" s="3"/>
      <c r="R136" s="3"/>
      <c r="S136" s="3"/>
      <c r="T136" s="3"/>
      <c r="U136" s="3"/>
      <c r="V136" s="3"/>
      <c r="W136" s="3"/>
      <c r="X136" s="3"/>
      <c r="Y136" s="3"/>
      <c r="Z136" s="3"/>
    </row>
    <row r="137" spans="1:26" ht="15.75" customHeight="1">
      <c r="A137" s="1"/>
      <c r="B137" s="2"/>
      <c r="C137" s="2"/>
      <c r="D137" s="2"/>
      <c r="E137" s="2"/>
      <c r="F137" s="2"/>
      <c r="G137" s="2"/>
      <c r="H137" s="3"/>
      <c r="I137" s="3"/>
      <c r="J137" s="3"/>
      <c r="K137" s="3"/>
      <c r="L137" s="3"/>
      <c r="M137" s="3"/>
      <c r="N137" s="3"/>
      <c r="O137" s="3"/>
      <c r="P137" s="3"/>
      <c r="Q137" s="3"/>
      <c r="R137" s="3"/>
      <c r="S137" s="3"/>
      <c r="T137" s="3"/>
      <c r="U137" s="3"/>
      <c r="V137" s="3"/>
      <c r="W137" s="3"/>
      <c r="X137" s="3"/>
      <c r="Y137" s="3"/>
      <c r="Z137" s="3"/>
    </row>
    <row r="138" spans="1:26" ht="15.75" customHeight="1">
      <c r="A138" s="1"/>
      <c r="B138" s="2"/>
      <c r="C138" s="2"/>
      <c r="D138" s="2"/>
      <c r="E138" s="2"/>
      <c r="F138" s="2"/>
      <c r="G138" s="2"/>
      <c r="H138" s="3"/>
      <c r="I138" s="3"/>
      <c r="J138" s="3"/>
      <c r="K138" s="3"/>
      <c r="L138" s="3"/>
      <c r="M138" s="3"/>
      <c r="N138" s="3"/>
      <c r="O138" s="3"/>
      <c r="P138" s="3"/>
      <c r="Q138" s="3"/>
      <c r="R138" s="3"/>
      <c r="S138" s="3"/>
      <c r="T138" s="3"/>
      <c r="U138" s="3"/>
      <c r="V138" s="3"/>
      <c r="W138" s="3"/>
      <c r="X138" s="3"/>
      <c r="Y138" s="3"/>
      <c r="Z138" s="3"/>
    </row>
    <row r="139" spans="1:26" ht="15.75" customHeight="1">
      <c r="A139" s="1"/>
      <c r="B139" s="2"/>
      <c r="C139" s="2"/>
      <c r="D139" s="2"/>
      <c r="E139" s="2"/>
      <c r="F139" s="2"/>
      <c r="G139" s="2"/>
      <c r="H139" s="3"/>
      <c r="I139" s="3"/>
      <c r="J139" s="3"/>
      <c r="K139" s="3"/>
      <c r="L139" s="3"/>
      <c r="M139" s="3"/>
      <c r="N139" s="3"/>
      <c r="O139" s="3"/>
      <c r="P139" s="3"/>
      <c r="Q139" s="3"/>
      <c r="R139" s="3"/>
      <c r="S139" s="3"/>
      <c r="T139" s="3"/>
      <c r="U139" s="3"/>
      <c r="V139" s="3"/>
      <c r="W139" s="3"/>
      <c r="X139" s="3"/>
      <c r="Y139" s="3"/>
      <c r="Z139" s="3"/>
    </row>
    <row r="140" spans="1:26" ht="15.75" customHeight="1">
      <c r="A140" s="1"/>
      <c r="B140" s="2"/>
      <c r="C140" s="2"/>
      <c r="D140" s="2"/>
      <c r="E140" s="2"/>
      <c r="F140" s="2"/>
      <c r="G140" s="2"/>
      <c r="H140" s="3"/>
      <c r="I140" s="3"/>
      <c r="J140" s="3"/>
      <c r="K140" s="3"/>
      <c r="L140" s="3"/>
      <c r="M140" s="3"/>
      <c r="N140" s="3"/>
      <c r="O140" s="3"/>
      <c r="P140" s="3"/>
      <c r="Q140" s="3"/>
      <c r="R140" s="3"/>
      <c r="S140" s="3"/>
      <c r="T140" s="3"/>
      <c r="U140" s="3"/>
      <c r="V140" s="3"/>
      <c r="W140" s="3"/>
      <c r="X140" s="3"/>
      <c r="Y140" s="3"/>
      <c r="Z140" s="3"/>
    </row>
    <row r="141" spans="1:26" ht="15.75" customHeight="1">
      <c r="A141" s="1"/>
      <c r="B141" s="2"/>
      <c r="C141" s="2"/>
      <c r="D141" s="2"/>
      <c r="E141" s="2"/>
      <c r="F141" s="2"/>
      <c r="G141" s="2"/>
      <c r="H141" s="3"/>
      <c r="I141" s="3"/>
      <c r="J141" s="3"/>
      <c r="K141" s="3"/>
      <c r="L141" s="3"/>
      <c r="M141" s="3"/>
      <c r="N141" s="3"/>
      <c r="O141" s="3"/>
      <c r="P141" s="3"/>
      <c r="Q141" s="3"/>
      <c r="R141" s="3"/>
      <c r="S141" s="3"/>
      <c r="T141" s="3"/>
      <c r="U141" s="3"/>
      <c r="V141" s="3"/>
      <c r="W141" s="3"/>
      <c r="X141" s="3"/>
      <c r="Y141" s="3"/>
      <c r="Z141" s="3"/>
    </row>
    <row r="142" spans="1:26" ht="15.75" customHeight="1">
      <c r="A142" s="1"/>
      <c r="B142" s="2"/>
      <c r="C142" s="2"/>
      <c r="D142" s="2"/>
      <c r="E142" s="2"/>
      <c r="F142" s="2"/>
      <c r="G142" s="2"/>
      <c r="H142" s="3"/>
      <c r="I142" s="3"/>
      <c r="J142" s="3"/>
      <c r="K142" s="3"/>
      <c r="L142" s="3"/>
      <c r="M142" s="3"/>
      <c r="N142" s="3"/>
      <c r="O142" s="3"/>
      <c r="P142" s="3"/>
      <c r="Q142" s="3"/>
      <c r="R142" s="3"/>
      <c r="S142" s="3"/>
      <c r="T142" s="3"/>
      <c r="U142" s="3"/>
      <c r="V142" s="3"/>
      <c r="W142" s="3"/>
      <c r="X142" s="3"/>
      <c r="Y142" s="3"/>
      <c r="Z142" s="3"/>
    </row>
    <row r="143" spans="1:26" ht="15.75" customHeight="1">
      <c r="A143" s="1"/>
      <c r="B143" s="2"/>
      <c r="C143" s="2"/>
      <c r="D143" s="2"/>
      <c r="E143" s="2"/>
      <c r="F143" s="2"/>
      <c r="G143" s="2"/>
      <c r="H143" s="3"/>
      <c r="I143" s="3"/>
      <c r="J143" s="3"/>
      <c r="K143" s="3"/>
      <c r="L143" s="3"/>
      <c r="M143" s="3"/>
      <c r="N143" s="3"/>
      <c r="O143" s="3"/>
      <c r="P143" s="3"/>
      <c r="Q143" s="3"/>
      <c r="R143" s="3"/>
      <c r="S143" s="3"/>
      <c r="T143" s="3"/>
      <c r="U143" s="3"/>
      <c r="V143" s="3"/>
      <c r="W143" s="3"/>
      <c r="X143" s="3"/>
      <c r="Y143" s="3"/>
      <c r="Z143" s="3"/>
    </row>
    <row r="144" spans="1:26" ht="15.75" customHeight="1">
      <c r="A144" s="1"/>
      <c r="B144" s="2"/>
      <c r="C144" s="2"/>
      <c r="D144" s="2"/>
      <c r="E144" s="2"/>
      <c r="F144" s="2"/>
      <c r="G144" s="2"/>
      <c r="H144" s="3"/>
      <c r="I144" s="3"/>
      <c r="J144" s="3"/>
      <c r="K144" s="3"/>
      <c r="L144" s="3"/>
      <c r="M144" s="3"/>
      <c r="N144" s="3"/>
      <c r="O144" s="3"/>
      <c r="P144" s="3"/>
      <c r="Q144" s="3"/>
      <c r="R144" s="3"/>
      <c r="S144" s="3"/>
      <c r="T144" s="3"/>
      <c r="U144" s="3"/>
      <c r="V144" s="3"/>
      <c r="W144" s="3"/>
      <c r="X144" s="3"/>
      <c r="Y144" s="3"/>
      <c r="Z144" s="3"/>
    </row>
    <row r="145" spans="1:26" ht="15.75" customHeight="1">
      <c r="A145" s="1"/>
      <c r="B145" s="2"/>
      <c r="C145" s="2"/>
      <c r="D145" s="2"/>
      <c r="E145" s="2"/>
      <c r="F145" s="2"/>
      <c r="G145" s="2"/>
      <c r="H145" s="3"/>
      <c r="I145" s="3"/>
      <c r="J145" s="3"/>
      <c r="K145" s="3"/>
      <c r="L145" s="3"/>
      <c r="M145" s="3"/>
      <c r="N145" s="3"/>
      <c r="O145" s="3"/>
      <c r="P145" s="3"/>
      <c r="Q145" s="3"/>
      <c r="R145" s="3"/>
      <c r="S145" s="3"/>
      <c r="T145" s="3"/>
      <c r="U145" s="3"/>
      <c r="V145" s="3"/>
      <c r="W145" s="3"/>
      <c r="X145" s="3"/>
      <c r="Y145" s="3"/>
      <c r="Z145" s="3"/>
    </row>
    <row r="146" spans="1:26" ht="15.75" customHeight="1">
      <c r="A146" s="1"/>
      <c r="B146" s="2"/>
      <c r="C146" s="2"/>
      <c r="D146" s="2"/>
      <c r="E146" s="2"/>
      <c r="F146" s="2"/>
      <c r="G146" s="2"/>
      <c r="H146" s="3"/>
      <c r="I146" s="3"/>
      <c r="J146" s="3"/>
      <c r="K146" s="3"/>
      <c r="L146" s="3"/>
      <c r="M146" s="3"/>
      <c r="N146" s="3"/>
      <c r="O146" s="3"/>
      <c r="P146" s="3"/>
      <c r="Q146" s="3"/>
      <c r="R146" s="3"/>
      <c r="S146" s="3"/>
      <c r="T146" s="3"/>
      <c r="U146" s="3"/>
      <c r="V146" s="3"/>
      <c r="W146" s="3"/>
      <c r="X146" s="3"/>
      <c r="Y146" s="3"/>
      <c r="Z146" s="3"/>
    </row>
    <row r="147" spans="1:26" ht="15.75" customHeight="1">
      <c r="A147" s="1"/>
      <c r="B147" s="2"/>
      <c r="C147" s="2"/>
      <c r="D147" s="2"/>
      <c r="E147" s="2"/>
      <c r="F147" s="2"/>
      <c r="G147" s="2"/>
      <c r="H147" s="3"/>
      <c r="I147" s="3"/>
      <c r="J147" s="3"/>
      <c r="K147" s="3"/>
      <c r="L147" s="3"/>
      <c r="M147" s="3"/>
      <c r="N147" s="3"/>
      <c r="O147" s="3"/>
      <c r="P147" s="3"/>
      <c r="Q147" s="3"/>
      <c r="R147" s="3"/>
      <c r="S147" s="3"/>
      <c r="T147" s="3"/>
      <c r="U147" s="3"/>
      <c r="V147" s="3"/>
      <c r="W147" s="3"/>
      <c r="X147" s="3"/>
      <c r="Y147" s="3"/>
      <c r="Z147" s="3"/>
    </row>
    <row r="148" spans="1:26" ht="15.75" customHeight="1">
      <c r="A148" s="1"/>
      <c r="B148" s="2"/>
      <c r="C148" s="2"/>
      <c r="D148" s="2"/>
      <c r="E148" s="2"/>
      <c r="F148" s="2"/>
      <c r="G148" s="2"/>
      <c r="H148" s="3"/>
      <c r="I148" s="3"/>
      <c r="J148" s="3"/>
      <c r="K148" s="3"/>
      <c r="L148" s="3"/>
      <c r="M148" s="3"/>
      <c r="N148" s="3"/>
      <c r="O148" s="3"/>
      <c r="P148" s="3"/>
      <c r="Q148" s="3"/>
      <c r="R148" s="3"/>
      <c r="S148" s="3"/>
      <c r="T148" s="3"/>
      <c r="U148" s="3"/>
      <c r="V148" s="3"/>
      <c r="W148" s="3"/>
      <c r="X148" s="3"/>
      <c r="Y148" s="3"/>
      <c r="Z148" s="3"/>
    </row>
    <row r="149" spans="1:26" ht="15.75" customHeight="1">
      <c r="A149" s="1"/>
      <c r="B149" s="2"/>
      <c r="C149" s="2"/>
      <c r="D149" s="2"/>
      <c r="E149" s="2"/>
      <c r="F149" s="2"/>
      <c r="G149" s="2"/>
      <c r="H149" s="3"/>
      <c r="I149" s="3"/>
      <c r="J149" s="3"/>
      <c r="K149" s="3"/>
      <c r="L149" s="3"/>
      <c r="M149" s="3"/>
      <c r="N149" s="3"/>
      <c r="O149" s="3"/>
      <c r="P149" s="3"/>
      <c r="Q149" s="3"/>
      <c r="R149" s="3"/>
      <c r="S149" s="3"/>
      <c r="T149" s="3"/>
      <c r="U149" s="3"/>
      <c r="V149" s="3"/>
      <c r="W149" s="3"/>
      <c r="X149" s="3"/>
      <c r="Y149" s="3"/>
      <c r="Z149" s="3"/>
    </row>
    <row r="150" spans="1:26" ht="15.75" customHeight="1">
      <c r="A150" s="1"/>
      <c r="B150" s="2"/>
      <c r="C150" s="2"/>
      <c r="D150" s="2"/>
      <c r="E150" s="2"/>
      <c r="F150" s="2"/>
      <c r="G150" s="2"/>
      <c r="H150" s="3"/>
      <c r="I150" s="3"/>
      <c r="J150" s="3"/>
      <c r="K150" s="3"/>
      <c r="L150" s="3"/>
      <c r="M150" s="3"/>
      <c r="N150" s="3"/>
      <c r="O150" s="3"/>
      <c r="P150" s="3"/>
      <c r="Q150" s="3"/>
      <c r="R150" s="3"/>
      <c r="S150" s="3"/>
      <c r="T150" s="3"/>
      <c r="U150" s="3"/>
      <c r="V150" s="3"/>
      <c r="W150" s="3"/>
      <c r="X150" s="3"/>
      <c r="Y150" s="3"/>
      <c r="Z150" s="3"/>
    </row>
    <row r="151" spans="1:26" ht="15.75" customHeight="1">
      <c r="A151" s="1"/>
      <c r="B151" s="2"/>
      <c r="C151" s="2"/>
      <c r="D151" s="2"/>
      <c r="E151" s="2"/>
      <c r="F151" s="2"/>
      <c r="G151" s="2"/>
      <c r="H151" s="3"/>
      <c r="I151" s="3"/>
      <c r="J151" s="3"/>
      <c r="K151" s="3"/>
      <c r="L151" s="3"/>
      <c r="M151" s="3"/>
      <c r="N151" s="3"/>
      <c r="O151" s="3"/>
      <c r="P151" s="3"/>
      <c r="Q151" s="3"/>
      <c r="R151" s="3"/>
      <c r="S151" s="3"/>
      <c r="T151" s="3"/>
      <c r="U151" s="3"/>
      <c r="V151" s="3"/>
      <c r="W151" s="3"/>
      <c r="X151" s="3"/>
      <c r="Y151" s="3"/>
      <c r="Z151" s="3"/>
    </row>
    <row r="152" spans="1:26" ht="15.75" customHeight="1">
      <c r="A152" s="1"/>
      <c r="B152" s="2"/>
      <c r="C152" s="2"/>
      <c r="D152" s="2"/>
      <c r="E152" s="2"/>
      <c r="F152" s="2"/>
      <c r="G152" s="2"/>
      <c r="H152" s="3"/>
      <c r="I152" s="3"/>
      <c r="J152" s="3"/>
      <c r="K152" s="3"/>
      <c r="L152" s="3"/>
      <c r="M152" s="3"/>
      <c r="N152" s="3"/>
      <c r="O152" s="3"/>
      <c r="P152" s="3"/>
      <c r="Q152" s="3"/>
      <c r="R152" s="3"/>
      <c r="S152" s="3"/>
      <c r="T152" s="3"/>
      <c r="U152" s="3"/>
      <c r="V152" s="3"/>
      <c r="W152" s="3"/>
      <c r="X152" s="3"/>
      <c r="Y152" s="3"/>
      <c r="Z152" s="3"/>
    </row>
    <row r="153" spans="1:26" ht="15.75" customHeight="1">
      <c r="A153" s="1"/>
      <c r="B153" s="2"/>
      <c r="C153" s="2"/>
      <c r="D153" s="2"/>
      <c r="E153" s="2"/>
      <c r="F153" s="2"/>
      <c r="G153" s="2"/>
      <c r="H153" s="3"/>
      <c r="I153" s="3"/>
      <c r="J153" s="3"/>
      <c r="K153" s="3"/>
      <c r="L153" s="3"/>
      <c r="M153" s="3"/>
      <c r="N153" s="3"/>
      <c r="O153" s="3"/>
      <c r="P153" s="3"/>
      <c r="Q153" s="3"/>
      <c r="R153" s="3"/>
      <c r="S153" s="3"/>
      <c r="T153" s="3"/>
      <c r="U153" s="3"/>
      <c r="V153" s="3"/>
      <c r="W153" s="3"/>
      <c r="X153" s="3"/>
      <c r="Y153" s="3"/>
      <c r="Z153" s="3"/>
    </row>
    <row r="154" spans="1:26" ht="15.75" customHeight="1">
      <c r="A154" s="1"/>
      <c r="B154" s="2"/>
      <c r="C154" s="2"/>
      <c r="D154" s="2"/>
      <c r="E154" s="2"/>
      <c r="F154" s="2"/>
      <c r="G154" s="2"/>
      <c r="H154" s="3"/>
      <c r="I154" s="3"/>
      <c r="J154" s="3"/>
      <c r="K154" s="3"/>
      <c r="L154" s="3"/>
      <c r="M154" s="3"/>
      <c r="N154" s="3"/>
      <c r="O154" s="3"/>
      <c r="P154" s="3"/>
      <c r="Q154" s="3"/>
      <c r="R154" s="3"/>
      <c r="S154" s="3"/>
      <c r="T154" s="3"/>
      <c r="U154" s="3"/>
      <c r="V154" s="3"/>
      <c r="W154" s="3"/>
      <c r="X154" s="3"/>
      <c r="Y154" s="3"/>
      <c r="Z154" s="3"/>
    </row>
    <row r="155" spans="1:26" ht="15.75" customHeight="1">
      <c r="A155" s="1"/>
      <c r="B155" s="2"/>
      <c r="C155" s="2"/>
      <c r="D155" s="2"/>
      <c r="E155" s="2"/>
      <c r="F155" s="2"/>
      <c r="G155" s="2"/>
      <c r="H155" s="3"/>
      <c r="I155" s="3"/>
      <c r="J155" s="3"/>
      <c r="K155" s="3"/>
      <c r="L155" s="3"/>
      <c r="M155" s="3"/>
      <c r="N155" s="3"/>
      <c r="O155" s="3"/>
      <c r="P155" s="3"/>
      <c r="Q155" s="3"/>
      <c r="R155" s="3"/>
      <c r="S155" s="3"/>
      <c r="T155" s="3"/>
      <c r="U155" s="3"/>
      <c r="V155" s="3"/>
      <c r="W155" s="3"/>
      <c r="X155" s="3"/>
      <c r="Y155" s="3"/>
      <c r="Z155" s="3"/>
    </row>
    <row r="156" spans="1:26" ht="15.75" customHeight="1">
      <c r="A156" s="1"/>
      <c r="B156" s="2"/>
      <c r="C156" s="2"/>
      <c r="D156" s="2"/>
      <c r="E156" s="2"/>
      <c r="F156" s="2"/>
      <c r="G156" s="2"/>
      <c r="H156" s="3"/>
      <c r="I156" s="3"/>
      <c r="J156" s="3"/>
      <c r="K156" s="3"/>
      <c r="L156" s="3"/>
      <c r="M156" s="3"/>
      <c r="N156" s="3"/>
      <c r="O156" s="3"/>
      <c r="P156" s="3"/>
      <c r="Q156" s="3"/>
      <c r="R156" s="3"/>
      <c r="S156" s="3"/>
      <c r="T156" s="3"/>
      <c r="U156" s="3"/>
      <c r="V156" s="3"/>
      <c r="W156" s="3"/>
      <c r="X156" s="3"/>
      <c r="Y156" s="3"/>
      <c r="Z156" s="3"/>
    </row>
    <row r="157" spans="1:26" ht="15.75" customHeight="1">
      <c r="A157" s="1"/>
      <c r="B157" s="2"/>
      <c r="C157" s="2"/>
      <c r="D157" s="2"/>
      <c r="E157" s="2"/>
      <c r="F157" s="2"/>
      <c r="G157" s="2"/>
      <c r="H157" s="3"/>
      <c r="I157" s="3"/>
      <c r="J157" s="3"/>
      <c r="K157" s="3"/>
      <c r="L157" s="3"/>
      <c r="M157" s="3"/>
      <c r="N157" s="3"/>
      <c r="O157" s="3"/>
      <c r="P157" s="3"/>
      <c r="Q157" s="3"/>
      <c r="R157" s="3"/>
      <c r="S157" s="3"/>
      <c r="T157" s="3"/>
      <c r="U157" s="3"/>
      <c r="V157" s="3"/>
      <c r="W157" s="3"/>
      <c r="X157" s="3"/>
      <c r="Y157" s="3"/>
      <c r="Z157" s="3"/>
    </row>
    <row r="158" spans="1:26" ht="15.75" customHeight="1">
      <c r="A158" s="1"/>
      <c r="B158" s="2"/>
      <c r="C158" s="2"/>
      <c r="D158" s="2"/>
      <c r="E158" s="2"/>
      <c r="F158" s="2"/>
      <c r="G158" s="2"/>
      <c r="H158" s="3"/>
      <c r="I158" s="3"/>
      <c r="J158" s="3"/>
      <c r="K158" s="3"/>
      <c r="L158" s="3"/>
      <c r="M158" s="3"/>
      <c r="N158" s="3"/>
      <c r="O158" s="3"/>
      <c r="P158" s="3"/>
      <c r="Q158" s="3"/>
      <c r="R158" s="3"/>
      <c r="S158" s="3"/>
      <c r="T158" s="3"/>
      <c r="U158" s="3"/>
      <c r="V158" s="3"/>
      <c r="W158" s="3"/>
      <c r="X158" s="3"/>
      <c r="Y158" s="3"/>
      <c r="Z158" s="3"/>
    </row>
    <row r="159" spans="1:26" ht="15.75" customHeight="1">
      <c r="A159" s="1"/>
      <c r="B159" s="2"/>
      <c r="C159" s="2"/>
      <c r="D159" s="2"/>
      <c r="E159" s="2"/>
      <c r="F159" s="2"/>
      <c r="G159" s="2"/>
      <c r="H159" s="3"/>
      <c r="I159" s="3"/>
      <c r="J159" s="3"/>
      <c r="K159" s="3"/>
      <c r="L159" s="3"/>
      <c r="M159" s="3"/>
      <c r="N159" s="3"/>
      <c r="O159" s="3"/>
      <c r="P159" s="3"/>
      <c r="Q159" s="3"/>
      <c r="R159" s="3"/>
      <c r="S159" s="3"/>
      <c r="T159" s="3"/>
      <c r="U159" s="3"/>
      <c r="V159" s="3"/>
      <c r="W159" s="3"/>
      <c r="X159" s="3"/>
      <c r="Y159" s="3"/>
      <c r="Z159" s="3"/>
    </row>
    <row r="160" spans="1:26" ht="15.75" customHeight="1">
      <c r="A160" s="1"/>
      <c r="B160" s="2"/>
      <c r="C160" s="2"/>
      <c r="D160" s="2"/>
      <c r="E160" s="2"/>
      <c r="F160" s="2"/>
      <c r="G160" s="2"/>
      <c r="H160" s="3"/>
      <c r="I160" s="3"/>
      <c r="J160" s="3"/>
      <c r="K160" s="3"/>
      <c r="L160" s="3"/>
      <c r="M160" s="3"/>
      <c r="N160" s="3"/>
      <c r="O160" s="3"/>
      <c r="P160" s="3"/>
      <c r="Q160" s="3"/>
      <c r="R160" s="3"/>
      <c r="S160" s="3"/>
      <c r="T160" s="3"/>
      <c r="U160" s="3"/>
      <c r="V160" s="3"/>
      <c r="W160" s="3"/>
      <c r="X160" s="3"/>
      <c r="Y160" s="3"/>
      <c r="Z160" s="3"/>
    </row>
    <row r="161" spans="1:26" ht="15.75" customHeight="1">
      <c r="A161" s="1"/>
      <c r="B161" s="2"/>
      <c r="C161" s="2"/>
      <c r="D161" s="2"/>
      <c r="E161" s="2"/>
      <c r="F161" s="2"/>
      <c r="G161" s="2"/>
      <c r="H161" s="3"/>
      <c r="I161" s="3"/>
      <c r="J161" s="3"/>
      <c r="K161" s="3"/>
      <c r="L161" s="3"/>
      <c r="M161" s="3"/>
      <c r="N161" s="3"/>
      <c r="O161" s="3"/>
      <c r="P161" s="3"/>
      <c r="Q161" s="3"/>
      <c r="R161" s="3"/>
      <c r="S161" s="3"/>
      <c r="T161" s="3"/>
      <c r="U161" s="3"/>
      <c r="V161" s="3"/>
      <c r="W161" s="3"/>
      <c r="X161" s="3"/>
      <c r="Y161" s="3"/>
      <c r="Z161" s="3"/>
    </row>
    <row r="162" spans="1:26" ht="15.75" customHeight="1">
      <c r="A162" s="1"/>
      <c r="B162" s="2"/>
      <c r="C162" s="2"/>
      <c r="D162" s="2"/>
      <c r="E162" s="2"/>
      <c r="F162" s="2"/>
      <c r="G162" s="2"/>
      <c r="H162" s="3"/>
      <c r="I162" s="3"/>
      <c r="J162" s="3"/>
      <c r="K162" s="3"/>
      <c r="L162" s="3"/>
      <c r="M162" s="3"/>
      <c r="N162" s="3"/>
      <c r="O162" s="3"/>
      <c r="P162" s="3"/>
      <c r="Q162" s="3"/>
      <c r="R162" s="3"/>
      <c r="S162" s="3"/>
      <c r="T162" s="3"/>
      <c r="U162" s="3"/>
      <c r="V162" s="3"/>
      <c r="W162" s="3"/>
      <c r="X162" s="3"/>
      <c r="Y162" s="3"/>
      <c r="Z162" s="3"/>
    </row>
    <row r="163" spans="1:26" ht="15.75" customHeight="1">
      <c r="A163" s="1"/>
      <c r="B163" s="2"/>
      <c r="C163" s="2"/>
      <c r="D163" s="2"/>
      <c r="E163" s="2"/>
      <c r="F163" s="2"/>
      <c r="G163" s="2"/>
      <c r="H163" s="3"/>
      <c r="I163" s="3"/>
      <c r="J163" s="3"/>
      <c r="K163" s="3"/>
      <c r="L163" s="3"/>
      <c r="M163" s="3"/>
      <c r="N163" s="3"/>
      <c r="O163" s="3"/>
      <c r="P163" s="3"/>
      <c r="Q163" s="3"/>
      <c r="R163" s="3"/>
      <c r="S163" s="3"/>
      <c r="T163" s="3"/>
      <c r="U163" s="3"/>
      <c r="V163" s="3"/>
      <c r="W163" s="3"/>
      <c r="X163" s="3"/>
      <c r="Y163" s="3"/>
      <c r="Z163" s="3"/>
    </row>
    <row r="164" spans="1:26" ht="15.75" customHeight="1">
      <c r="A164" s="1"/>
      <c r="B164" s="2"/>
      <c r="C164" s="2"/>
      <c r="D164" s="2"/>
      <c r="E164" s="2"/>
      <c r="F164" s="2"/>
      <c r="G164" s="2"/>
      <c r="H164" s="3"/>
      <c r="I164" s="3"/>
      <c r="J164" s="3"/>
      <c r="K164" s="3"/>
      <c r="L164" s="3"/>
      <c r="M164" s="3"/>
      <c r="N164" s="3"/>
      <c r="O164" s="3"/>
      <c r="P164" s="3"/>
      <c r="Q164" s="3"/>
      <c r="R164" s="3"/>
      <c r="S164" s="3"/>
      <c r="T164" s="3"/>
      <c r="U164" s="3"/>
      <c r="V164" s="3"/>
      <c r="W164" s="3"/>
      <c r="X164" s="3"/>
      <c r="Y164" s="3"/>
      <c r="Z164" s="3"/>
    </row>
    <row r="165" spans="1:26" ht="15.75" customHeight="1">
      <c r="A165" s="1"/>
      <c r="B165" s="2"/>
      <c r="C165" s="2"/>
      <c r="D165" s="2"/>
      <c r="E165" s="2"/>
      <c r="F165" s="2"/>
      <c r="G165" s="2"/>
      <c r="H165" s="3"/>
      <c r="I165" s="3"/>
      <c r="J165" s="3"/>
      <c r="K165" s="3"/>
      <c r="L165" s="3"/>
      <c r="M165" s="3"/>
      <c r="N165" s="3"/>
      <c r="O165" s="3"/>
      <c r="P165" s="3"/>
      <c r="Q165" s="3"/>
      <c r="R165" s="3"/>
      <c r="S165" s="3"/>
      <c r="T165" s="3"/>
      <c r="U165" s="3"/>
      <c r="V165" s="3"/>
      <c r="W165" s="3"/>
      <c r="X165" s="3"/>
      <c r="Y165" s="3"/>
      <c r="Z165" s="3"/>
    </row>
    <row r="166" spans="1:26" ht="15.75" customHeight="1">
      <c r="A166" s="1"/>
      <c r="B166" s="2"/>
      <c r="C166" s="2"/>
      <c r="D166" s="2"/>
      <c r="E166" s="2"/>
      <c r="F166" s="2"/>
      <c r="G166" s="2"/>
      <c r="H166" s="3"/>
      <c r="I166" s="3"/>
      <c r="J166" s="3"/>
      <c r="K166" s="3"/>
      <c r="L166" s="3"/>
      <c r="M166" s="3"/>
      <c r="N166" s="3"/>
      <c r="O166" s="3"/>
      <c r="P166" s="3"/>
      <c r="Q166" s="3"/>
      <c r="R166" s="3"/>
      <c r="S166" s="3"/>
      <c r="T166" s="3"/>
      <c r="U166" s="3"/>
      <c r="V166" s="3"/>
      <c r="W166" s="3"/>
      <c r="X166" s="3"/>
      <c r="Y166" s="3"/>
      <c r="Z166" s="3"/>
    </row>
    <row r="167" spans="1:26" ht="15.75" customHeight="1">
      <c r="A167" s="1"/>
      <c r="B167" s="2"/>
      <c r="C167" s="2"/>
      <c r="D167" s="2"/>
      <c r="E167" s="2"/>
      <c r="F167" s="2"/>
      <c r="G167" s="2"/>
      <c r="H167" s="3"/>
      <c r="I167" s="3"/>
      <c r="J167" s="3"/>
      <c r="K167" s="3"/>
      <c r="L167" s="3"/>
      <c r="M167" s="3"/>
      <c r="N167" s="3"/>
      <c r="O167" s="3"/>
      <c r="P167" s="3"/>
      <c r="Q167" s="3"/>
      <c r="R167" s="3"/>
      <c r="S167" s="3"/>
      <c r="T167" s="3"/>
      <c r="U167" s="3"/>
      <c r="V167" s="3"/>
      <c r="W167" s="3"/>
      <c r="X167" s="3"/>
      <c r="Y167" s="3"/>
      <c r="Z167" s="3"/>
    </row>
    <row r="168" spans="1:26" ht="15.75" customHeight="1">
      <c r="A168" s="1"/>
      <c r="B168" s="2"/>
      <c r="C168" s="2"/>
      <c r="D168" s="2"/>
      <c r="E168" s="2"/>
      <c r="F168" s="2"/>
      <c r="G168" s="2"/>
      <c r="H168" s="3"/>
      <c r="I168" s="3"/>
      <c r="J168" s="3"/>
      <c r="K168" s="3"/>
      <c r="L168" s="3"/>
      <c r="M168" s="3"/>
      <c r="N168" s="3"/>
      <c r="O168" s="3"/>
      <c r="P168" s="3"/>
      <c r="Q168" s="3"/>
      <c r="R168" s="3"/>
      <c r="S168" s="3"/>
      <c r="T168" s="3"/>
      <c r="U168" s="3"/>
      <c r="V168" s="3"/>
      <c r="W168" s="3"/>
      <c r="X168" s="3"/>
      <c r="Y168" s="3"/>
      <c r="Z168" s="3"/>
    </row>
    <row r="169" spans="1:26" ht="15.75" customHeight="1">
      <c r="A169" s="1"/>
      <c r="B169" s="2"/>
      <c r="C169" s="2"/>
      <c r="D169" s="2"/>
      <c r="E169" s="2"/>
      <c r="F169" s="2"/>
      <c r="G169" s="2"/>
      <c r="H169" s="3"/>
      <c r="I169" s="3"/>
      <c r="J169" s="3"/>
      <c r="K169" s="3"/>
      <c r="L169" s="3"/>
      <c r="M169" s="3"/>
      <c r="N169" s="3"/>
      <c r="O169" s="3"/>
      <c r="P169" s="3"/>
      <c r="Q169" s="3"/>
      <c r="R169" s="3"/>
      <c r="S169" s="3"/>
      <c r="T169" s="3"/>
      <c r="U169" s="3"/>
      <c r="V169" s="3"/>
      <c r="W169" s="3"/>
      <c r="X169" s="3"/>
      <c r="Y169" s="3"/>
      <c r="Z169" s="3"/>
    </row>
    <row r="170" spans="1:26" ht="15.75" customHeight="1">
      <c r="A170" s="1"/>
      <c r="B170" s="2"/>
      <c r="C170" s="2"/>
      <c r="D170" s="2"/>
      <c r="E170" s="2"/>
      <c r="F170" s="2"/>
      <c r="G170" s="2"/>
      <c r="H170" s="3"/>
      <c r="I170" s="3"/>
      <c r="J170" s="3"/>
      <c r="K170" s="3"/>
      <c r="L170" s="3"/>
      <c r="M170" s="3"/>
      <c r="N170" s="3"/>
      <c r="O170" s="3"/>
      <c r="P170" s="3"/>
      <c r="Q170" s="3"/>
      <c r="R170" s="3"/>
      <c r="S170" s="3"/>
      <c r="T170" s="3"/>
      <c r="U170" s="3"/>
      <c r="V170" s="3"/>
      <c r="W170" s="3"/>
      <c r="X170" s="3"/>
      <c r="Y170" s="3"/>
      <c r="Z170" s="3"/>
    </row>
    <row r="171" spans="1:26" ht="15.75" customHeight="1">
      <c r="A171" s="1"/>
      <c r="B171" s="2"/>
      <c r="C171" s="2"/>
      <c r="D171" s="2"/>
      <c r="E171" s="2"/>
      <c r="F171" s="2"/>
      <c r="G171" s="2"/>
      <c r="H171" s="3"/>
      <c r="I171" s="3"/>
      <c r="J171" s="3"/>
      <c r="K171" s="3"/>
      <c r="L171" s="3"/>
      <c r="M171" s="3"/>
      <c r="N171" s="3"/>
      <c r="O171" s="3"/>
      <c r="P171" s="3"/>
      <c r="Q171" s="3"/>
      <c r="R171" s="3"/>
      <c r="S171" s="3"/>
      <c r="T171" s="3"/>
      <c r="U171" s="3"/>
      <c r="V171" s="3"/>
      <c r="W171" s="3"/>
      <c r="X171" s="3"/>
      <c r="Y171" s="3"/>
      <c r="Z171" s="3"/>
    </row>
    <row r="172" spans="1:26" ht="15.75" customHeight="1">
      <c r="A172" s="1"/>
      <c r="B172" s="2"/>
      <c r="C172" s="2"/>
      <c r="D172" s="2"/>
      <c r="E172" s="2"/>
      <c r="F172" s="2"/>
      <c r="G172" s="2"/>
      <c r="H172" s="3"/>
      <c r="I172" s="3"/>
      <c r="J172" s="3"/>
      <c r="K172" s="3"/>
      <c r="L172" s="3"/>
      <c r="M172" s="3"/>
      <c r="N172" s="3"/>
      <c r="O172" s="3"/>
      <c r="P172" s="3"/>
      <c r="Q172" s="3"/>
      <c r="R172" s="3"/>
      <c r="S172" s="3"/>
      <c r="T172" s="3"/>
      <c r="U172" s="3"/>
      <c r="V172" s="3"/>
      <c r="W172" s="3"/>
      <c r="X172" s="3"/>
      <c r="Y172" s="3"/>
      <c r="Z172" s="3"/>
    </row>
    <row r="173" spans="1:26" ht="15.75" customHeight="1">
      <c r="A173" s="1"/>
      <c r="B173" s="2"/>
      <c r="C173" s="2"/>
      <c r="D173" s="2"/>
      <c r="E173" s="2"/>
      <c r="F173" s="2"/>
      <c r="G173" s="2"/>
      <c r="H173" s="3"/>
      <c r="I173" s="3"/>
      <c r="J173" s="3"/>
      <c r="K173" s="3"/>
      <c r="L173" s="3"/>
      <c r="M173" s="3"/>
      <c r="N173" s="3"/>
      <c r="O173" s="3"/>
      <c r="P173" s="3"/>
      <c r="Q173" s="3"/>
      <c r="R173" s="3"/>
      <c r="S173" s="3"/>
      <c r="T173" s="3"/>
      <c r="U173" s="3"/>
      <c r="V173" s="3"/>
      <c r="W173" s="3"/>
      <c r="X173" s="3"/>
      <c r="Y173" s="3"/>
      <c r="Z173" s="3"/>
    </row>
    <row r="174" spans="1:26" ht="15.75" customHeight="1">
      <c r="A174" s="1"/>
      <c r="B174" s="2"/>
      <c r="C174" s="2"/>
      <c r="D174" s="2"/>
      <c r="E174" s="2"/>
      <c r="F174" s="2"/>
      <c r="G174" s="2"/>
      <c r="H174" s="3"/>
      <c r="I174" s="3"/>
      <c r="J174" s="3"/>
      <c r="K174" s="3"/>
      <c r="L174" s="3"/>
      <c r="M174" s="3"/>
      <c r="N174" s="3"/>
      <c r="O174" s="3"/>
      <c r="P174" s="3"/>
      <c r="Q174" s="3"/>
      <c r="R174" s="3"/>
      <c r="S174" s="3"/>
      <c r="T174" s="3"/>
      <c r="U174" s="3"/>
      <c r="V174" s="3"/>
      <c r="W174" s="3"/>
      <c r="X174" s="3"/>
      <c r="Y174" s="3"/>
      <c r="Z174" s="3"/>
    </row>
    <row r="175" spans="1:26" ht="15.75" customHeight="1">
      <c r="A175" s="1"/>
      <c r="B175" s="2"/>
      <c r="C175" s="2"/>
      <c r="D175" s="2"/>
      <c r="E175" s="2"/>
      <c r="F175" s="2"/>
      <c r="G175" s="2"/>
      <c r="H175" s="3"/>
      <c r="I175" s="3"/>
      <c r="J175" s="3"/>
      <c r="K175" s="3"/>
      <c r="L175" s="3"/>
      <c r="M175" s="3"/>
      <c r="N175" s="3"/>
      <c r="O175" s="3"/>
      <c r="P175" s="3"/>
      <c r="Q175" s="3"/>
      <c r="R175" s="3"/>
      <c r="S175" s="3"/>
      <c r="T175" s="3"/>
      <c r="U175" s="3"/>
      <c r="V175" s="3"/>
      <c r="W175" s="3"/>
      <c r="X175" s="3"/>
      <c r="Y175" s="3"/>
      <c r="Z175" s="3"/>
    </row>
    <row r="176" spans="1:26" ht="15.75" customHeight="1">
      <c r="A176" s="1"/>
      <c r="B176" s="2"/>
      <c r="C176" s="2"/>
      <c r="D176" s="2"/>
      <c r="E176" s="2"/>
      <c r="F176" s="2"/>
      <c r="G176" s="2"/>
      <c r="H176" s="3"/>
      <c r="I176" s="3"/>
      <c r="J176" s="3"/>
      <c r="K176" s="3"/>
      <c r="L176" s="3"/>
      <c r="M176" s="3"/>
      <c r="N176" s="3"/>
      <c r="O176" s="3"/>
      <c r="P176" s="3"/>
      <c r="Q176" s="3"/>
      <c r="R176" s="3"/>
      <c r="S176" s="3"/>
      <c r="T176" s="3"/>
      <c r="U176" s="3"/>
      <c r="V176" s="3"/>
      <c r="W176" s="3"/>
      <c r="X176" s="3"/>
      <c r="Y176" s="3"/>
      <c r="Z176" s="3"/>
    </row>
    <row r="177" spans="1:26" ht="15.75" customHeight="1">
      <c r="A177" s="1"/>
      <c r="B177" s="2"/>
      <c r="C177" s="2"/>
      <c r="D177" s="2"/>
      <c r="E177" s="2"/>
      <c r="F177" s="2"/>
      <c r="G177" s="2"/>
      <c r="H177" s="3"/>
      <c r="I177" s="3"/>
      <c r="J177" s="3"/>
      <c r="K177" s="3"/>
      <c r="L177" s="3"/>
      <c r="M177" s="3"/>
      <c r="N177" s="3"/>
      <c r="O177" s="3"/>
      <c r="P177" s="3"/>
      <c r="Q177" s="3"/>
      <c r="R177" s="3"/>
      <c r="S177" s="3"/>
      <c r="T177" s="3"/>
      <c r="U177" s="3"/>
      <c r="V177" s="3"/>
      <c r="W177" s="3"/>
      <c r="X177" s="3"/>
      <c r="Y177" s="3"/>
      <c r="Z177" s="3"/>
    </row>
    <row r="178" spans="1:26" ht="15.75" customHeight="1">
      <c r="A178" s="1"/>
      <c r="B178" s="2"/>
      <c r="C178" s="2"/>
      <c r="D178" s="2"/>
      <c r="E178" s="2"/>
      <c r="F178" s="2"/>
      <c r="G178" s="2"/>
      <c r="H178" s="3"/>
      <c r="I178" s="3"/>
      <c r="J178" s="3"/>
      <c r="K178" s="3"/>
      <c r="L178" s="3"/>
      <c r="M178" s="3"/>
      <c r="N178" s="3"/>
      <c r="O178" s="3"/>
      <c r="P178" s="3"/>
      <c r="Q178" s="3"/>
      <c r="R178" s="3"/>
      <c r="S178" s="3"/>
      <c r="T178" s="3"/>
      <c r="U178" s="3"/>
      <c r="V178" s="3"/>
      <c r="W178" s="3"/>
      <c r="X178" s="3"/>
      <c r="Y178" s="3"/>
      <c r="Z178" s="3"/>
    </row>
    <row r="179" spans="1:26" ht="15.75" customHeight="1">
      <c r="A179" s="1"/>
      <c r="B179" s="2"/>
      <c r="C179" s="2"/>
      <c r="D179" s="2"/>
      <c r="E179" s="2"/>
      <c r="F179" s="2"/>
      <c r="G179" s="2"/>
      <c r="H179" s="3"/>
      <c r="I179" s="3"/>
      <c r="J179" s="3"/>
      <c r="K179" s="3"/>
      <c r="L179" s="3"/>
      <c r="M179" s="3"/>
      <c r="N179" s="3"/>
      <c r="O179" s="3"/>
      <c r="P179" s="3"/>
      <c r="Q179" s="3"/>
      <c r="R179" s="3"/>
      <c r="S179" s="3"/>
      <c r="T179" s="3"/>
      <c r="U179" s="3"/>
      <c r="V179" s="3"/>
      <c r="W179" s="3"/>
      <c r="X179" s="3"/>
      <c r="Y179" s="3"/>
      <c r="Z179" s="3"/>
    </row>
    <row r="180" spans="1:26" ht="15.75" customHeight="1">
      <c r="A180" s="1"/>
      <c r="B180" s="2"/>
      <c r="C180" s="2"/>
      <c r="D180" s="2"/>
      <c r="E180" s="2"/>
      <c r="F180" s="2"/>
      <c r="G180" s="2"/>
      <c r="H180" s="3"/>
      <c r="I180" s="3"/>
      <c r="J180" s="3"/>
      <c r="K180" s="3"/>
      <c r="L180" s="3"/>
      <c r="M180" s="3"/>
      <c r="N180" s="3"/>
      <c r="O180" s="3"/>
      <c r="P180" s="3"/>
      <c r="Q180" s="3"/>
      <c r="R180" s="3"/>
      <c r="S180" s="3"/>
      <c r="T180" s="3"/>
      <c r="U180" s="3"/>
      <c r="V180" s="3"/>
      <c r="W180" s="3"/>
      <c r="X180" s="3"/>
      <c r="Y180" s="3"/>
      <c r="Z180" s="3"/>
    </row>
    <row r="181" spans="1:26" ht="15.75" customHeight="1">
      <c r="A181" s="1"/>
      <c r="B181" s="2"/>
      <c r="C181" s="2"/>
      <c r="D181" s="2"/>
      <c r="E181" s="2"/>
      <c r="F181" s="2"/>
      <c r="G181" s="2"/>
      <c r="H181" s="3"/>
      <c r="I181" s="3"/>
      <c r="J181" s="3"/>
      <c r="K181" s="3"/>
      <c r="L181" s="3"/>
      <c r="M181" s="3"/>
      <c r="N181" s="3"/>
      <c r="O181" s="3"/>
      <c r="P181" s="3"/>
      <c r="Q181" s="3"/>
      <c r="R181" s="3"/>
      <c r="S181" s="3"/>
      <c r="T181" s="3"/>
      <c r="U181" s="3"/>
      <c r="V181" s="3"/>
      <c r="W181" s="3"/>
      <c r="X181" s="3"/>
      <c r="Y181" s="3"/>
      <c r="Z181" s="3"/>
    </row>
    <row r="182" spans="1:26" ht="15.75" customHeight="1">
      <c r="A182" s="1"/>
      <c r="B182" s="2"/>
      <c r="C182" s="2"/>
      <c r="D182" s="2"/>
      <c r="E182" s="2"/>
      <c r="F182" s="2"/>
      <c r="G182" s="2"/>
      <c r="H182" s="3"/>
      <c r="I182" s="3"/>
      <c r="J182" s="3"/>
      <c r="K182" s="3"/>
      <c r="L182" s="3"/>
      <c r="M182" s="3"/>
      <c r="N182" s="3"/>
      <c r="O182" s="3"/>
      <c r="P182" s="3"/>
      <c r="Q182" s="3"/>
      <c r="R182" s="3"/>
      <c r="S182" s="3"/>
      <c r="T182" s="3"/>
      <c r="U182" s="3"/>
      <c r="V182" s="3"/>
      <c r="W182" s="3"/>
      <c r="X182" s="3"/>
      <c r="Y182" s="3"/>
      <c r="Z182" s="3"/>
    </row>
    <row r="183" spans="1:26" ht="15.75" customHeight="1">
      <c r="A183" s="1"/>
      <c r="B183" s="2"/>
      <c r="C183" s="2"/>
      <c r="D183" s="2"/>
      <c r="E183" s="2"/>
      <c r="F183" s="2"/>
      <c r="G183" s="2"/>
      <c r="H183" s="3"/>
      <c r="I183" s="3"/>
      <c r="J183" s="3"/>
      <c r="K183" s="3"/>
      <c r="L183" s="3"/>
      <c r="M183" s="3"/>
      <c r="N183" s="3"/>
      <c r="O183" s="3"/>
      <c r="P183" s="3"/>
      <c r="Q183" s="3"/>
      <c r="R183" s="3"/>
      <c r="S183" s="3"/>
      <c r="T183" s="3"/>
      <c r="U183" s="3"/>
      <c r="V183" s="3"/>
      <c r="W183" s="3"/>
      <c r="X183" s="3"/>
      <c r="Y183" s="3"/>
      <c r="Z183" s="3"/>
    </row>
    <row r="184" spans="1:26" ht="15.75" customHeight="1">
      <c r="A184" s="1"/>
      <c r="B184" s="2"/>
      <c r="C184" s="2"/>
      <c r="D184" s="2"/>
      <c r="E184" s="2"/>
      <c r="F184" s="2"/>
      <c r="G184" s="2"/>
      <c r="H184" s="3"/>
      <c r="I184" s="3"/>
      <c r="J184" s="3"/>
      <c r="K184" s="3"/>
      <c r="L184" s="3"/>
      <c r="M184" s="3"/>
      <c r="N184" s="3"/>
      <c r="O184" s="3"/>
      <c r="P184" s="3"/>
      <c r="Q184" s="3"/>
      <c r="R184" s="3"/>
      <c r="S184" s="3"/>
      <c r="T184" s="3"/>
      <c r="U184" s="3"/>
      <c r="V184" s="3"/>
      <c r="W184" s="3"/>
      <c r="X184" s="3"/>
      <c r="Y184" s="3"/>
      <c r="Z184" s="3"/>
    </row>
    <row r="185" spans="1:26" ht="15.75" customHeight="1">
      <c r="A185" s="1"/>
      <c r="B185" s="2"/>
      <c r="C185" s="2"/>
      <c r="D185" s="2"/>
      <c r="E185" s="2"/>
      <c r="F185" s="2"/>
      <c r="G185" s="2"/>
      <c r="H185" s="3"/>
      <c r="I185" s="3"/>
      <c r="J185" s="3"/>
      <c r="K185" s="3"/>
      <c r="L185" s="3"/>
      <c r="M185" s="3"/>
      <c r="N185" s="3"/>
      <c r="O185" s="3"/>
      <c r="P185" s="3"/>
      <c r="Q185" s="3"/>
      <c r="R185" s="3"/>
      <c r="S185" s="3"/>
      <c r="T185" s="3"/>
      <c r="U185" s="3"/>
      <c r="V185" s="3"/>
      <c r="W185" s="3"/>
      <c r="X185" s="3"/>
      <c r="Y185" s="3"/>
      <c r="Z185" s="3"/>
    </row>
    <row r="186" spans="1:26" ht="15.75" customHeight="1">
      <c r="A186" s="1"/>
      <c r="B186" s="2"/>
      <c r="C186" s="2"/>
      <c r="D186" s="2"/>
      <c r="E186" s="2"/>
      <c r="F186" s="2"/>
      <c r="G186" s="2"/>
      <c r="H186" s="3"/>
      <c r="I186" s="3"/>
      <c r="J186" s="3"/>
      <c r="K186" s="3"/>
      <c r="L186" s="3"/>
      <c r="M186" s="3"/>
      <c r="N186" s="3"/>
      <c r="O186" s="3"/>
      <c r="P186" s="3"/>
      <c r="Q186" s="3"/>
      <c r="R186" s="3"/>
      <c r="S186" s="3"/>
      <c r="T186" s="3"/>
      <c r="U186" s="3"/>
      <c r="V186" s="3"/>
      <c r="W186" s="3"/>
      <c r="X186" s="3"/>
      <c r="Y186" s="3"/>
      <c r="Z186" s="3"/>
    </row>
    <row r="187" spans="1:26" ht="15.75" customHeight="1">
      <c r="A187" s="1"/>
      <c r="B187" s="2"/>
      <c r="C187" s="2"/>
      <c r="D187" s="2"/>
      <c r="E187" s="2"/>
      <c r="F187" s="2"/>
      <c r="G187" s="2"/>
      <c r="H187" s="3"/>
      <c r="I187" s="3"/>
      <c r="J187" s="3"/>
      <c r="K187" s="3"/>
      <c r="L187" s="3"/>
      <c r="M187" s="3"/>
      <c r="N187" s="3"/>
      <c r="O187" s="3"/>
      <c r="P187" s="3"/>
      <c r="Q187" s="3"/>
      <c r="R187" s="3"/>
      <c r="S187" s="3"/>
      <c r="T187" s="3"/>
      <c r="U187" s="3"/>
      <c r="V187" s="3"/>
      <c r="W187" s="3"/>
      <c r="X187" s="3"/>
      <c r="Y187" s="3"/>
      <c r="Z187" s="3"/>
    </row>
    <row r="188" spans="1:26" ht="15.75" customHeight="1">
      <c r="A188" s="1"/>
      <c r="B188" s="2"/>
      <c r="C188" s="2"/>
      <c r="D188" s="2"/>
      <c r="E188" s="2"/>
      <c r="F188" s="2"/>
      <c r="G188" s="2"/>
      <c r="H188" s="3"/>
      <c r="I188" s="3"/>
      <c r="J188" s="3"/>
      <c r="K188" s="3"/>
      <c r="L188" s="3"/>
      <c r="M188" s="3"/>
      <c r="N188" s="3"/>
      <c r="O188" s="3"/>
      <c r="P188" s="3"/>
      <c r="Q188" s="3"/>
      <c r="R188" s="3"/>
      <c r="S188" s="3"/>
      <c r="T188" s="3"/>
      <c r="U188" s="3"/>
      <c r="V188" s="3"/>
      <c r="W188" s="3"/>
      <c r="X188" s="3"/>
      <c r="Y188" s="3"/>
      <c r="Z188" s="3"/>
    </row>
    <row r="189" spans="1:26" ht="15.75" customHeight="1">
      <c r="A189" s="1"/>
      <c r="B189" s="2"/>
      <c r="C189" s="2"/>
      <c r="D189" s="2"/>
      <c r="E189" s="2"/>
      <c r="F189" s="2"/>
      <c r="G189" s="2"/>
      <c r="H189" s="3"/>
      <c r="I189" s="3"/>
      <c r="J189" s="3"/>
      <c r="K189" s="3"/>
      <c r="L189" s="3"/>
      <c r="M189" s="3"/>
      <c r="N189" s="3"/>
      <c r="O189" s="3"/>
      <c r="P189" s="3"/>
      <c r="Q189" s="3"/>
      <c r="R189" s="3"/>
      <c r="S189" s="3"/>
      <c r="T189" s="3"/>
      <c r="U189" s="3"/>
      <c r="V189" s="3"/>
      <c r="W189" s="3"/>
      <c r="X189" s="3"/>
      <c r="Y189" s="3"/>
      <c r="Z189" s="3"/>
    </row>
    <row r="190" spans="1:26" ht="15.75" customHeight="1">
      <c r="A190" s="1"/>
      <c r="B190" s="2"/>
      <c r="C190" s="2"/>
      <c r="D190" s="2"/>
      <c r="E190" s="2"/>
      <c r="F190" s="2"/>
      <c r="G190" s="2"/>
      <c r="H190" s="3"/>
      <c r="I190" s="3"/>
      <c r="J190" s="3"/>
      <c r="K190" s="3"/>
      <c r="L190" s="3"/>
      <c r="M190" s="3"/>
      <c r="N190" s="3"/>
      <c r="O190" s="3"/>
      <c r="P190" s="3"/>
      <c r="Q190" s="3"/>
      <c r="R190" s="3"/>
      <c r="S190" s="3"/>
      <c r="T190" s="3"/>
      <c r="U190" s="3"/>
      <c r="V190" s="3"/>
      <c r="W190" s="3"/>
      <c r="X190" s="3"/>
      <c r="Y190" s="3"/>
      <c r="Z190" s="3"/>
    </row>
    <row r="191" spans="1:26" ht="15.75" customHeight="1">
      <c r="A191" s="1"/>
      <c r="B191" s="2"/>
      <c r="C191" s="2"/>
      <c r="D191" s="2"/>
      <c r="E191" s="2"/>
      <c r="F191" s="2"/>
      <c r="G191" s="2"/>
      <c r="H191" s="3"/>
      <c r="I191" s="3"/>
      <c r="J191" s="3"/>
      <c r="K191" s="3"/>
      <c r="L191" s="3"/>
      <c r="M191" s="3"/>
      <c r="N191" s="3"/>
      <c r="O191" s="3"/>
      <c r="P191" s="3"/>
      <c r="Q191" s="3"/>
      <c r="R191" s="3"/>
      <c r="S191" s="3"/>
      <c r="T191" s="3"/>
      <c r="U191" s="3"/>
      <c r="V191" s="3"/>
      <c r="W191" s="3"/>
      <c r="X191" s="3"/>
      <c r="Y191" s="3"/>
      <c r="Z191" s="3"/>
    </row>
    <row r="192" spans="1:26" ht="15.75" customHeight="1">
      <c r="A192" s="1"/>
      <c r="B192" s="2"/>
      <c r="C192" s="2"/>
      <c r="D192" s="2"/>
      <c r="E192" s="2"/>
      <c r="F192" s="2"/>
      <c r="G192" s="2"/>
      <c r="H192" s="3"/>
      <c r="I192" s="3"/>
      <c r="J192" s="3"/>
      <c r="K192" s="3"/>
      <c r="L192" s="3"/>
      <c r="M192" s="3"/>
      <c r="N192" s="3"/>
      <c r="O192" s="3"/>
      <c r="P192" s="3"/>
      <c r="Q192" s="3"/>
      <c r="R192" s="3"/>
      <c r="S192" s="3"/>
      <c r="T192" s="3"/>
      <c r="U192" s="3"/>
      <c r="V192" s="3"/>
      <c r="W192" s="3"/>
      <c r="X192" s="3"/>
      <c r="Y192" s="3"/>
      <c r="Z192" s="3"/>
    </row>
    <row r="193" spans="1:26" ht="15.75" customHeight="1">
      <c r="A193" s="1"/>
      <c r="B193" s="2"/>
      <c r="C193" s="2"/>
      <c r="D193" s="2"/>
      <c r="E193" s="2"/>
      <c r="F193" s="2"/>
      <c r="G193" s="2"/>
      <c r="H193" s="3"/>
      <c r="I193" s="3"/>
      <c r="J193" s="3"/>
      <c r="K193" s="3"/>
      <c r="L193" s="3"/>
      <c r="M193" s="3"/>
      <c r="N193" s="3"/>
      <c r="O193" s="3"/>
      <c r="P193" s="3"/>
      <c r="Q193" s="3"/>
      <c r="R193" s="3"/>
      <c r="S193" s="3"/>
      <c r="T193" s="3"/>
      <c r="U193" s="3"/>
      <c r="V193" s="3"/>
      <c r="W193" s="3"/>
      <c r="X193" s="3"/>
      <c r="Y193" s="3"/>
      <c r="Z193" s="3"/>
    </row>
    <row r="194" spans="1:26" ht="15.75" customHeight="1">
      <c r="A194" s="1"/>
      <c r="B194" s="2"/>
      <c r="C194" s="2"/>
      <c r="D194" s="2"/>
      <c r="E194" s="2"/>
      <c r="F194" s="2"/>
      <c r="G194" s="2"/>
      <c r="H194" s="3"/>
      <c r="I194" s="3"/>
      <c r="J194" s="3"/>
      <c r="K194" s="3"/>
      <c r="L194" s="3"/>
      <c r="M194" s="3"/>
      <c r="N194" s="3"/>
      <c r="O194" s="3"/>
      <c r="P194" s="3"/>
      <c r="Q194" s="3"/>
      <c r="R194" s="3"/>
      <c r="S194" s="3"/>
      <c r="T194" s="3"/>
      <c r="U194" s="3"/>
      <c r="V194" s="3"/>
      <c r="W194" s="3"/>
      <c r="X194" s="3"/>
      <c r="Y194" s="3"/>
      <c r="Z194" s="3"/>
    </row>
    <row r="195" spans="1:26" ht="15.75" customHeight="1">
      <c r="A195" s="1"/>
      <c r="B195" s="2"/>
      <c r="C195" s="2"/>
      <c r="D195" s="2"/>
      <c r="E195" s="2"/>
      <c r="F195" s="2"/>
      <c r="G195" s="2"/>
      <c r="H195" s="3"/>
      <c r="I195" s="3"/>
      <c r="J195" s="3"/>
      <c r="K195" s="3"/>
      <c r="L195" s="3"/>
      <c r="M195" s="3"/>
      <c r="N195" s="3"/>
      <c r="O195" s="3"/>
      <c r="P195" s="3"/>
      <c r="Q195" s="3"/>
      <c r="R195" s="3"/>
      <c r="S195" s="3"/>
      <c r="T195" s="3"/>
      <c r="U195" s="3"/>
      <c r="V195" s="3"/>
      <c r="W195" s="3"/>
      <c r="X195" s="3"/>
      <c r="Y195" s="3"/>
      <c r="Z195" s="3"/>
    </row>
    <row r="196" spans="1:26" ht="15.75" customHeight="1">
      <c r="A196" s="1"/>
      <c r="B196" s="2"/>
      <c r="C196" s="2"/>
      <c r="D196" s="2"/>
      <c r="E196" s="2"/>
      <c r="F196" s="2"/>
      <c r="G196" s="2"/>
      <c r="H196" s="3"/>
      <c r="I196" s="3"/>
      <c r="J196" s="3"/>
      <c r="K196" s="3"/>
      <c r="L196" s="3"/>
      <c r="M196" s="3"/>
      <c r="N196" s="3"/>
      <c r="O196" s="3"/>
      <c r="P196" s="3"/>
      <c r="Q196" s="3"/>
      <c r="R196" s="3"/>
      <c r="S196" s="3"/>
      <c r="T196" s="3"/>
      <c r="U196" s="3"/>
      <c r="V196" s="3"/>
      <c r="W196" s="3"/>
      <c r="X196" s="3"/>
      <c r="Y196" s="3"/>
      <c r="Z196" s="3"/>
    </row>
    <row r="197" spans="1:26" ht="15.75" customHeight="1">
      <c r="A197" s="1"/>
      <c r="B197" s="2"/>
      <c r="C197" s="2"/>
      <c r="D197" s="2"/>
      <c r="E197" s="2"/>
      <c r="F197" s="2"/>
      <c r="G197" s="2"/>
      <c r="H197" s="3"/>
      <c r="I197" s="3"/>
      <c r="J197" s="3"/>
      <c r="K197" s="3"/>
      <c r="L197" s="3"/>
      <c r="M197" s="3"/>
      <c r="N197" s="3"/>
      <c r="O197" s="3"/>
      <c r="P197" s="3"/>
      <c r="Q197" s="3"/>
      <c r="R197" s="3"/>
      <c r="S197" s="3"/>
      <c r="T197" s="3"/>
      <c r="U197" s="3"/>
      <c r="V197" s="3"/>
      <c r="W197" s="3"/>
      <c r="X197" s="3"/>
      <c r="Y197" s="3"/>
      <c r="Z197" s="3"/>
    </row>
    <row r="198" spans="1:26" ht="15.75" customHeight="1">
      <c r="A198" s="1"/>
      <c r="B198" s="2"/>
      <c r="C198" s="2"/>
      <c r="D198" s="2"/>
      <c r="E198" s="2"/>
      <c r="F198" s="2"/>
      <c r="G198" s="2"/>
      <c r="H198" s="3"/>
      <c r="I198" s="3"/>
      <c r="J198" s="3"/>
      <c r="K198" s="3"/>
      <c r="L198" s="3"/>
      <c r="M198" s="3"/>
      <c r="N198" s="3"/>
      <c r="O198" s="3"/>
      <c r="P198" s="3"/>
      <c r="Q198" s="3"/>
      <c r="R198" s="3"/>
      <c r="S198" s="3"/>
      <c r="T198" s="3"/>
      <c r="U198" s="3"/>
      <c r="V198" s="3"/>
      <c r="W198" s="3"/>
      <c r="X198" s="3"/>
      <c r="Y198" s="3"/>
      <c r="Z198" s="3"/>
    </row>
    <row r="199" spans="1:26" ht="15.75" customHeight="1">
      <c r="A199" s="1"/>
      <c r="B199" s="2"/>
      <c r="C199" s="2"/>
      <c r="D199" s="2"/>
      <c r="E199" s="2"/>
      <c r="F199" s="2"/>
      <c r="G199" s="2"/>
      <c r="H199" s="3"/>
      <c r="I199" s="3"/>
      <c r="J199" s="3"/>
      <c r="K199" s="3"/>
      <c r="L199" s="3"/>
      <c r="M199" s="3"/>
      <c r="N199" s="3"/>
      <c r="O199" s="3"/>
      <c r="P199" s="3"/>
      <c r="Q199" s="3"/>
      <c r="R199" s="3"/>
      <c r="S199" s="3"/>
      <c r="T199" s="3"/>
      <c r="U199" s="3"/>
      <c r="V199" s="3"/>
      <c r="W199" s="3"/>
      <c r="X199" s="3"/>
      <c r="Y199" s="3"/>
      <c r="Z199" s="3"/>
    </row>
    <row r="200" spans="1:26" ht="15.75" customHeight="1">
      <c r="A200" s="1"/>
      <c r="B200" s="2"/>
      <c r="C200" s="2"/>
      <c r="D200" s="2"/>
      <c r="E200" s="2"/>
      <c r="F200" s="2"/>
      <c r="G200" s="2"/>
      <c r="H200" s="3"/>
      <c r="I200" s="3"/>
      <c r="J200" s="3"/>
      <c r="K200" s="3"/>
      <c r="L200" s="3"/>
      <c r="M200" s="3"/>
      <c r="N200" s="3"/>
      <c r="O200" s="3"/>
      <c r="P200" s="3"/>
      <c r="Q200" s="3"/>
      <c r="R200" s="3"/>
      <c r="S200" s="3"/>
      <c r="T200" s="3"/>
      <c r="U200" s="3"/>
      <c r="V200" s="3"/>
      <c r="W200" s="3"/>
      <c r="X200" s="3"/>
      <c r="Y200" s="3"/>
      <c r="Z200" s="3"/>
    </row>
    <row r="201" spans="1:26" ht="15.75" customHeight="1">
      <c r="A201" s="1"/>
      <c r="B201" s="2"/>
      <c r="C201" s="2"/>
      <c r="D201" s="2"/>
      <c r="E201" s="2"/>
      <c r="F201" s="2"/>
      <c r="G201" s="2"/>
      <c r="H201" s="3"/>
      <c r="I201" s="3"/>
      <c r="J201" s="3"/>
      <c r="K201" s="3"/>
      <c r="L201" s="3"/>
      <c r="M201" s="3"/>
      <c r="N201" s="3"/>
      <c r="O201" s="3"/>
      <c r="P201" s="3"/>
      <c r="Q201" s="3"/>
      <c r="R201" s="3"/>
      <c r="S201" s="3"/>
      <c r="T201" s="3"/>
      <c r="U201" s="3"/>
      <c r="V201" s="3"/>
      <c r="W201" s="3"/>
      <c r="X201" s="3"/>
      <c r="Y201" s="3"/>
      <c r="Z201" s="3"/>
    </row>
    <row r="202" spans="1:26" ht="15.75" customHeight="1">
      <c r="A202" s="1"/>
      <c r="B202" s="2"/>
      <c r="C202" s="2"/>
      <c r="D202" s="2"/>
      <c r="E202" s="2"/>
      <c r="F202" s="2"/>
      <c r="G202" s="2"/>
      <c r="H202" s="3"/>
      <c r="I202" s="3"/>
      <c r="J202" s="3"/>
      <c r="K202" s="3"/>
      <c r="L202" s="3"/>
      <c r="M202" s="3"/>
      <c r="N202" s="3"/>
      <c r="O202" s="3"/>
      <c r="P202" s="3"/>
      <c r="Q202" s="3"/>
      <c r="R202" s="3"/>
      <c r="S202" s="3"/>
      <c r="T202" s="3"/>
      <c r="U202" s="3"/>
      <c r="V202" s="3"/>
      <c r="W202" s="3"/>
      <c r="X202" s="3"/>
      <c r="Y202" s="3"/>
      <c r="Z202" s="3"/>
    </row>
    <row r="203" spans="1:26" ht="15.75" customHeight="1">
      <c r="A203" s="1"/>
      <c r="B203" s="2"/>
      <c r="C203" s="2"/>
      <c r="D203" s="2"/>
      <c r="E203" s="2"/>
      <c r="F203" s="2"/>
      <c r="G203" s="2"/>
      <c r="H203" s="3"/>
      <c r="I203" s="3"/>
      <c r="J203" s="3"/>
      <c r="K203" s="3"/>
      <c r="L203" s="3"/>
      <c r="M203" s="3"/>
      <c r="N203" s="3"/>
      <c r="O203" s="3"/>
      <c r="P203" s="3"/>
      <c r="Q203" s="3"/>
      <c r="R203" s="3"/>
      <c r="S203" s="3"/>
      <c r="T203" s="3"/>
      <c r="U203" s="3"/>
      <c r="V203" s="3"/>
      <c r="W203" s="3"/>
      <c r="X203" s="3"/>
      <c r="Y203" s="3"/>
      <c r="Z203" s="3"/>
    </row>
    <row r="204" spans="1:26" ht="15.75" customHeight="1">
      <c r="A204" s="1"/>
      <c r="B204" s="2"/>
      <c r="C204" s="2"/>
      <c r="D204" s="2"/>
      <c r="E204" s="2"/>
      <c r="F204" s="2"/>
      <c r="G204" s="2"/>
      <c r="H204" s="3"/>
      <c r="I204" s="3"/>
      <c r="J204" s="3"/>
      <c r="K204" s="3"/>
      <c r="L204" s="3"/>
      <c r="M204" s="3"/>
      <c r="N204" s="3"/>
      <c r="O204" s="3"/>
      <c r="P204" s="3"/>
      <c r="Q204" s="3"/>
      <c r="R204" s="3"/>
      <c r="S204" s="3"/>
      <c r="T204" s="3"/>
      <c r="U204" s="3"/>
      <c r="V204" s="3"/>
      <c r="W204" s="3"/>
      <c r="X204" s="3"/>
      <c r="Y204" s="3"/>
      <c r="Z204" s="3"/>
    </row>
    <row r="205" spans="1:26" ht="15.75" customHeight="1">
      <c r="A205" s="1"/>
      <c r="B205" s="2"/>
      <c r="C205" s="2"/>
      <c r="D205" s="2"/>
      <c r="E205" s="2"/>
      <c r="F205" s="2"/>
      <c r="G205" s="2"/>
      <c r="H205" s="3"/>
      <c r="I205" s="3"/>
      <c r="J205" s="3"/>
      <c r="K205" s="3"/>
      <c r="L205" s="3"/>
      <c r="M205" s="3"/>
      <c r="N205" s="3"/>
      <c r="O205" s="3"/>
      <c r="P205" s="3"/>
      <c r="Q205" s="3"/>
      <c r="R205" s="3"/>
      <c r="S205" s="3"/>
      <c r="T205" s="3"/>
      <c r="U205" s="3"/>
      <c r="V205" s="3"/>
      <c r="W205" s="3"/>
      <c r="X205" s="3"/>
      <c r="Y205" s="3"/>
      <c r="Z205" s="3"/>
    </row>
    <row r="206" spans="1:26" ht="15.75" customHeight="1">
      <c r="A206" s="1"/>
      <c r="B206" s="2"/>
      <c r="C206" s="2"/>
      <c r="D206" s="2"/>
      <c r="E206" s="2"/>
      <c r="F206" s="2"/>
      <c r="G206" s="2"/>
      <c r="H206" s="3"/>
      <c r="I206" s="3"/>
      <c r="J206" s="3"/>
      <c r="K206" s="3"/>
      <c r="L206" s="3"/>
      <c r="M206" s="3"/>
      <c r="N206" s="3"/>
      <c r="O206" s="3"/>
      <c r="P206" s="3"/>
      <c r="Q206" s="3"/>
      <c r="R206" s="3"/>
      <c r="S206" s="3"/>
      <c r="T206" s="3"/>
      <c r="U206" s="3"/>
      <c r="V206" s="3"/>
      <c r="W206" s="3"/>
      <c r="X206" s="3"/>
      <c r="Y206" s="3"/>
      <c r="Z206" s="3"/>
    </row>
    <row r="207" spans="1:26" ht="15.75" customHeight="1">
      <c r="A207" s="1"/>
      <c r="B207" s="2"/>
      <c r="C207" s="2"/>
      <c r="D207" s="2"/>
      <c r="E207" s="2"/>
      <c r="F207" s="2"/>
      <c r="G207" s="2"/>
      <c r="H207" s="3"/>
      <c r="I207" s="3"/>
      <c r="J207" s="3"/>
      <c r="K207" s="3"/>
      <c r="L207" s="3"/>
      <c r="M207" s="3"/>
      <c r="N207" s="3"/>
      <c r="O207" s="3"/>
      <c r="P207" s="3"/>
      <c r="Q207" s="3"/>
      <c r="R207" s="3"/>
      <c r="S207" s="3"/>
      <c r="T207" s="3"/>
      <c r="U207" s="3"/>
      <c r="V207" s="3"/>
      <c r="W207" s="3"/>
      <c r="X207" s="3"/>
      <c r="Y207" s="3"/>
      <c r="Z207" s="3"/>
    </row>
    <row r="208" spans="1:26" ht="15.75" customHeight="1">
      <c r="A208" s="1"/>
      <c r="B208" s="2"/>
      <c r="C208" s="2"/>
      <c r="D208" s="2"/>
      <c r="E208" s="2"/>
      <c r="F208" s="2"/>
      <c r="G208" s="2"/>
      <c r="H208" s="3"/>
      <c r="I208" s="3"/>
      <c r="J208" s="3"/>
      <c r="K208" s="3"/>
      <c r="L208" s="3"/>
      <c r="M208" s="3"/>
      <c r="N208" s="3"/>
      <c r="O208" s="3"/>
      <c r="P208" s="3"/>
      <c r="Q208" s="3"/>
      <c r="R208" s="3"/>
      <c r="S208" s="3"/>
      <c r="T208" s="3"/>
      <c r="U208" s="3"/>
      <c r="V208" s="3"/>
      <c r="W208" s="3"/>
      <c r="X208" s="3"/>
      <c r="Y208" s="3"/>
      <c r="Z208" s="3"/>
    </row>
    <row r="209" spans="1:26" ht="15.75" customHeight="1">
      <c r="A209" s="1"/>
      <c r="B209" s="2"/>
      <c r="C209" s="2"/>
      <c r="D209" s="2"/>
      <c r="E209" s="2"/>
      <c r="F209" s="2"/>
      <c r="G209" s="2"/>
      <c r="H209" s="3"/>
      <c r="I209" s="3"/>
      <c r="J209" s="3"/>
      <c r="K209" s="3"/>
      <c r="L209" s="3"/>
      <c r="M209" s="3"/>
      <c r="N209" s="3"/>
      <c r="O209" s="3"/>
      <c r="P209" s="3"/>
      <c r="Q209" s="3"/>
      <c r="R209" s="3"/>
      <c r="S209" s="3"/>
      <c r="T209" s="3"/>
      <c r="U209" s="3"/>
      <c r="V209" s="3"/>
      <c r="W209" s="3"/>
      <c r="X209" s="3"/>
      <c r="Y209" s="3"/>
      <c r="Z209" s="3"/>
    </row>
    <row r="210" spans="1:26" ht="15.75" customHeight="1">
      <c r="A210" s="1"/>
      <c r="B210" s="2"/>
      <c r="C210" s="2"/>
      <c r="D210" s="2"/>
      <c r="E210" s="2"/>
      <c r="F210" s="2"/>
      <c r="G210" s="2"/>
      <c r="H210" s="3"/>
      <c r="I210" s="3"/>
      <c r="J210" s="3"/>
      <c r="K210" s="3"/>
      <c r="L210" s="3"/>
      <c r="M210" s="3"/>
      <c r="N210" s="3"/>
      <c r="O210" s="3"/>
      <c r="P210" s="3"/>
      <c r="Q210" s="3"/>
      <c r="R210" s="3"/>
      <c r="S210" s="3"/>
      <c r="T210" s="3"/>
      <c r="U210" s="3"/>
      <c r="V210" s="3"/>
      <c r="W210" s="3"/>
      <c r="X210" s="3"/>
      <c r="Y210" s="3"/>
      <c r="Z210" s="3"/>
    </row>
    <row r="211" spans="1:26" ht="15.75" customHeight="1">
      <c r="A211" s="1"/>
      <c r="B211" s="2"/>
      <c r="C211" s="2"/>
      <c r="D211" s="2"/>
      <c r="E211" s="2"/>
      <c r="F211" s="2"/>
      <c r="G211" s="2"/>
      <c r="H211" s="3"/>
      <c r="I211" s="3"/>
      <c r="J211" s="3"/>
      <c r="K211" s="3"/>
      <c r="L211" s="3"/>
      <c r="M211" s="3"/>
      <c r="N211" s="3"/>
      <c r="O211" s="3"/>
      <c r="P211" s="3"/>
      <c r="Q211" s="3"/>
      <c r="R211" s="3"/>
      <c r="S211" s="3"/>
      <c r="T211" s="3"/>
      <c r="U211" s="3"/>
      <c r="V211" s="3"/>
      <c r="W211" s="3"/>
      <c r="X211" s="3"/>
      <c r="Y211" s="3"/>
      <c r="Z211" s="3"/>
    </row>
    <row r="212" spans="1:26" ht="15.75" customHeight="1">
      <c r="A212" s="1"/>
      <c r="B212" s="2"/>
      <c r="C212" s="2"/>
      <c r="D212" s="2"/>
      <c r="E212" s="2"/>
      <c r="F212" s="2"/>
      <c r="G212" s="2"/>
      <c r="H212" s="3"/>
      <c r="I212" s="3"/>
      <c r="J212" s="3"/>
      <c r="K212" s="3"/>
      <c r="L212" s="3"/>
      <c r="M212" s="3"/>
      <c r="N212" s="3"/>
      <c r="O212" s="3"/>
      <c r="P212" s="3"/>
      <c r="Q212" s="3"/>
      <c r="R212" s="3"/>
      <c r="S212" s="3"/>
      <c r="T212" s="3"/>
      <c r="U212" s="3"/>
      <c r="V212" s="3"/>
      <c r="W212" s="3"/>
      <c r="X212" s="3"/>
      <c r="Y212" s="3"/>
      <c r="Z212" s="3"/>
    </row>
    <row r="213" spans="1:26" ht="15.75" customHeight="1">
      <c r="A213" s="1"/>
      <c r="B213" s="2"/>
      <c r="C213" s="2"/>
      <c r="D213" s="2"/>
      <c r="E213" s="2"/>
      <c r="F213" s="2"/>
      <c r="G213" s="2"/>
      <c r="H213" s="3"/>
      <c r="I213" s="3"/>
      <c r="J213" s="3"/>
      <c r="K213" s="3"/>
      <c r="L213" s="3"/>
      <c r="M213" s="3"/>
      <c r="N213" s="3"/>
      <c r="O213" s="3"/>
      <c r="P213" s="3"/>
      <c r="Q213" s="3"/>
      <c r="R213" s="3"/>
      <c r="S213" s="3"/>
      <c r="T213" s="3"/>
      <c r="U213" s="3"/>
      <c r="V213" s="3"/>
      <c r="W213" s="3"/>
      <c r="X213" s="3"/>
      <c r="Y213" s="3"/>
      <c r="Z213" s="3"/>
    </row>
    <row r="214" spans="1:26" ht="15.75" customHeight="1">
      <c r="A214" s="1"/>
      <c r="B214" s="2"/>
      <c r="C214" s="2"/>
      <c r="D214" s="2"/>
      <c r="E214" s="2"/>
      <c r="F214" s="2"/>
      <c r="G214" s="2"/>
      <c r="H214" s="3"/>
      <c r="I214" s="3"/>
      <c r="J214" s="3"/>
      <c r="K214" s="3"/>
      <c r="L214" s="3"/>
      <c r="M214" s="3"/>
      <c r="N214" s="3"/>
      <c r="O214" s="3"/>
      <c r="P214" s="3"/>
      <c r="Q214" s="3"/>
      <c r="R214" s="3"/>
      <c r="S214" s="3"/>
      <c r="T214" s="3"/>
      <c r="U214" s="3"/>
      <c r="V214" s="3"/>
      <c r="W214" s="3"/>
      <c r="X214" s="3"/>
      <c r="Y214" s="3"/>
      <c r="Z214" s="3"/>
    </row>
    <row r="215" spans="1:26" ht="15.75" customHeight="1">
      <c r="A215" s="1"/>
      <c r="B215" s="2"/>
      <c r="C215" s="2"/>
      <c r="D215" s="2"/>
      <c r="E215" s="2"/>
      <c r="F215" s="2"/>
      <c r="G215" s="2"/>
      <c r="H215" s="3"/>
      <c r="I215" s="3"/>
      <c r="J215" s="3"/>
      <c r="K215" s="3"/>
      <c r="L215" s="3"/>
      <c r="M215" s="3"/>
      <c r="N215" s="3"/>
      <c r="O215" s="3"/>
      <c r="P215" s="3"/>
      <c r="Q215" s="3"/>
      <c r="R215" s="3"/>
      <c r="S215" s="3"/>
      <c r="T215" s="3"/>
      <c r="U215" s="3"/>
      <c r="V215" s="3"/>
      <c r="W215" s="3"/>
      <c r="X215" s="3"/>
      <c r="Y215" s="3"/>
      <c r="Z215" s="3"/>
    </row>
    <row r="216" spans="1:26" ht="15.75" customHeight="1">
      <c r="A216" s="1"/>
      <c r="B216" s="2"/>
      <c r="C216" s="2"/>
      <c r="D216" s="2"/>
      <c r="E216" s="2"/>
      <c r="F216" s="2"/>
      <c r="G216" s="2"/>
      <c r="H216" s="3"/>
      <c r="I216" s="3"/>
      <c r="J216" s="3"/>
      <c r="K216" s="3"/>
      <c r="L216" s="3"/>
      <c r="M216" s="3"/>
      <c r="N216" s="3"/>
      <c r="O216" s="3"/>
      <c r="P216" s="3"/>
      <c r="Q216" s="3"/>
      <c r="R216" s="3"/>
      <c r="S216" s="3"/>
      <c r="T216" s="3"/>
      <c r="U216" s="3"/>
      <c r="V216" s="3"/>
      <c r="W216" s="3"/>
      <c r="X216" s="3"/>
      <c r="Y216" s="3"/>
      <c r="Z216" s="3"/>
    </row>
    <row r="217" spans="1:26" ht="15.75" customHeight="1">
      <c r="A217" s="1"/>
      <c r="B217" s="2"/>
      <c r="C217" s="2"/>
      <c r="D217" s="2"/>
      <c r="E217" s="2"/>
      <c r="F217" s="2"/>
      <c r="G217" s="2"/>
      <c r="H217" s="3"/>
      <c r="I217" s="3"/>
      <c r="J217" s="3"/>
      <c r="K217" s="3"/>
      <c r="L217" s="3"/>
      <c r="M217" s="3"/>
      <c r="N217" s="3"/>
      <c r="O217" s="3"/>
      <c r="P217" s="3"/>
      <c r="Q217" s="3"/>
      <c r="R217" s="3"/>
      <c r="S217" s="3"/>
      <c r="T217" s="3"/>
      <c r="U217" s="3"/>
      <c r="V217" s="3"/>
      <c r="W217" s="3"/>
      <c r="X217" s="3"/>
      <c r="Y217" s="3"/>
      <c r="Z217" s="3"/>
    </row>
    <row r="218" spans="1:26" ht="15.75" customHeight="1">
      <c r="A218" s="1"/>
      <c r="B218" s="2"/>
      <c r="C218" s="2"/>
      <c r="D218" s="2"/>
      <c r="E218" s="2"/>
      <c r="F218" s="2"/>
      <c r="G218" s="2"/>
      <c r="H218" s="3"/>
      <c r="I218" s="3"/>
      <c r="J218" s="3"/>
      <c r="K218" s="3"/>
      <c r="L218" s="3"/>
      <c r="M218" s="3"/>
      <c r="N218" s="3"/>
      <c r="O218" s="3"/>
      <c r="P218" s="3"/>
      <c r="Q218" s="3"/>
      <c r="R218" s="3"/>
      <c r="S218" s="3"/>
      <c r="T218" s="3"/>
      <c r="U218" s="3"/>
      <c r="V218" s="3"/>
      <c r="W218" s="3"/>
      <c r="X218" s="3"/>
      <c r="Y218" s="3"/>
      <c r="Z218" s="3"/>
    </row>
    <row r="219" spans="1:26" ht="15.75" customHeight="1">
      <c r="A219" s="1"/>
      <c r="B219" s="2"/>
      <c r="C219" s="2"/>
      <c r="D219" s="2"/>
      <c r="E219" s="2"/>
      <c r="F219" s="2"/>
      <c r="G219" s="2"/>
      <c r="H219" s="3"/>
      <c r="I219" s="3"/>
      <c r="J219" s="3"/>
      <c r="K219" s="3"/>
      <c r="L219" s="3"/>
      <c r="M219" s="3"/>
      <c r="N219" s="3"/>
      <c r="O219" s="3"/>
      <c r="P219" s="3"/>
      <c r="Q219" s="3"/>
      <c r="R219" s="3"/>
      <c r="S219" s="3"/>
      <c r="T219" s="3"/>
      <c r="U219" s="3"/>
      <c r="V219" s="3"/>
      <c r="W219" s="3"/>
      <c r="X219" s="3"/>
      <c r="Y219" s="3"/>
      <c r="Z219" s="3"/>
    </row>
    <row r="220" spans="1:26" ht="15.75" customHeight="1">
      <c r="A220" s="1"/>
      <c r="B220" s="2"/>
      <c r="C220" s="2"/>
      <c r="D220" s="2"/>
      <c r="E220" s="2"/>
      <c r="F220" s="2"/>
      <c r="G220" s="2"/>
      <c r="H220" s="3"/>
      <c r="I220" s="3"/>
      <c r="J220" s="3"/>
      <c r="K220" s="3"/>
      <c r="L220" s="3"/>
      <c r="M220" s="3"/>
      <c r="N220" s="3"/>
      <c r="O220" s="3"/>
      <c r="P220" s="3"/>
      <c r="Q220" s="3"/>
      <c r="R220" s="3"/>
      <c r="S220" s="3"/>
      <c r="T220" s="3"/>
      <c r="U220" s="3"/>
      <c r="V220" s="3"/>
      <c r="W220" s="3"/>
      <c r="X220" s="3"/>
      <c r="Y220" s="3"/>
      <c r="Z220" s="3"/>
    </row>
    <row r="221" spans="1:26" ht="15.75" customHeight="1">
      <c r="A221" s="1"/>
      <c r="B221" s="2"/>
      <c r="C221" s="2"/>
      <c r="D221" s="2"/>
      <c r="E221" s="2"/>
      <c r="F221" s="2"/>
      <c r="G221" s="2"/>
      <c r="H221" s="3"/>
      <c r="I221" s="3"/>
      <c r="J221" s="3"/>
      <c r="K221" s="3"/>
      <c r="L221" s="3"/>
      <c r="M221" s="3"/>
      <c r="N221" s="3"/>
      <c r="O221" s="3"/>
      <c r="P221" s="3"/>
      <c r="Q221" s="3"/>
      <c r="R221" s="3"/>
      <c r="S221" s="3"/>
      <c r="T221" s="3"/>
      <c r="U221" s="3"/>
      <c r="V221" s="3"/>
      <c r="W221" s="3"/>
      <c r="X221" s="3"/>
      <c r="Y221" s="3"/>
      <c r="Z221" s="3"/>
    </row>
    <row r="222" spans="1:26" ht="15.75" customHeight="1">
      <c r="A222" s="1"/>
      <c r="B222" s="2"/>
      <c r="C222" s="2"/>
      <c r="D222" s="2"/>
      <c r="E222" s="2"/>
      <c r="F222" s="2"/>
      <c r="G222" s="2"/>
      <c r="H222" s="3"/>
      <c r="I222" s="3"/>
      <c r="J222" s="3"/>
      <c r="K222" s="3"/>
      <c r="L222" s="3"/>
      <c r="M222" s="3"/>
      <c r="N222" s="3"/>
      <c r="O222" s="3"/>
      <c r="P222" s="3"/>
      <c r="Q222" s="3"/>
      <c r="R222" s="3"/>
      <c r="S222" s="3"/>
      <c r="T222" s="3"/>
      <c r="U222" s="3"/>
      <c r="V222" s="3"/>
      <c r="W222" s="3"/>
      <c r="X222" s="3"/>
      <c r="Y222" s="3"/>
      <c r="Z222" s="3"/>
    </row>
    <row r="223" spans="1:26" ht="15.75" customHeight="1">
      <c r="A223" s="1"/>
      <c r="B223" s="2"/>
      <c r="C223" s="2"/>
      <c r="D223" s="2"/>
      <c r="E223" s="2"/>
      <c r="F223" s="2"/>
      <c r="G223" s="2"/>
      <c r="H223" s="3"/>
      <c r="I223" s="3"/>
      <c r="J223" s="3"/>
      <c r="K223" s="3"/>
      <c r="L223" s="3"/>
      <c r="M223" s="3"/>
      <c r="N223" s="3"/>
      <c r="O223" s="3"/>
      <c r="P223" s="3"/>
      <c r="Q223" s="3"/>
      <c r="R223" s="3"/>
      <c r="S223" s="3"/>
      <c r="T223" s="3"/>
      <c r="U223" s="3"/>
      <c r="V223" s="3"/>
      <c r="W223" s="3"/>
      <c r="X223" s="3"/>
      <c r="Y223" s="3"/>
      <c r="Z223" s="3"/>
    </row>
    <row r="224" spans="1:26" ht="15.75" customHeight="1">
      <c r="A224" s="1"/>
      <c r="B224" s="2"/>
      <c r="C224" s="2"/>
      <c r="D224" s="2"/>
      <c r="E224" s="2"/>
      <c r="F224" s="2"/>
      <c r="G224" s="2"/>
      <c r="H224" s="3"/>
      <c r="I224" s="3"/>
      <c r="J224" s="3"/>
      <c r="K224" s="3"/>
      <c r="L224" s="3"/>
      <c r="M224" s="3"/>
      <c r="N224" s="3"/>
      <c r="O224" s="3"/>
      <c r="P224" s="3"/>
      <c r="Q224" s="3"/>
      <c r="R224" s="3"/>
      <c r="S224" s="3"/>
      <c r="T224" s="3"/>
      <c r="U224" s="3"/>
      <c r="V224" s="3"/>
      <c r="W224" s="3"/>
      <c r="X224" s="3"/>
      <c r="Y224" s="3"/>
      <c r="Z224" s="3"/>
    </row>
    <row r="225" spans="1:26" ht="15.75" customHeight="1">
      <c r="A225" s="1"/>
      <c r="B225" s="2"/>
      <c r="C225" s="2"/>
      <c r="D225" s="2"/>
      <c r="E225" s="2"/>
      <c r="F225" s="2"/>
      <c r="G225" s="2"/>
      <c r="H225" s="3"/>
      <c r="I225" s="3"/>
      <c r="J225" s="3"/>
      <c r="K225" s="3"/>
      <c r="L225" s="3"/>
      <c r="M225" s="3"/>
      <c r="N225" s="3"/>
      <c r="O225" s="3"/>
      <c r="P225" s="3"/>
      <c r="Q225" s="3"/>
      <c r="R225" s="3"/>
      <c r="S225" s="3"/>
      <c r="T225" s="3"/>
      <c r="U225" s="3"/>
      <c r="V225" s="3"/>
      <c r="W225" s="3"/>
      <c r="X225" s="3"/>
      <c r="Y225" s="3"/>
      <c r="Z225" s="3"/>
    </row>
    <row r="226" spans="1:26" ht="15.75" customHeight="1">
      <c r="A226" s="1"/>
      <c r="B226" s="2"/>
      <c r="C226" s="2"/>
      <c r="D226" s="2"/>
      <c r="E226" s="2"/>
      <c r="F226" s="2"/>
      <c r="G226" s="2"/>
      <c r="H226" s="3"/>
      <c r="I226" s="3"/>
      <c r="J226" s="3"/>
      <c r="K226" s="3"/>
      <c r="L226" s="3"/>
      <c r="M226" s="3"/>
      <c r="N226" s="3"/>
      <c r="O226" s="3"/>
      <c r="P226" s="3"/>
      <c r="Q226" s="3"/>
      <c r="R226" s="3"/>
      <c r="S226" s="3"/>
      <c r="T226" s="3"/>
      <c r="U226" s="3"/>
      <c r="V226" s="3"/>
      <c r="W226" s="3"/>
      <c r="X226" s="3"/>
      <c r="Y226" s="3"/>
      <c r="Z226" s="3"/>
    </row>
    <row r="227" spans="1:26" ht="15.75" customHeight="1">
      <c r="A227" s="1"/>
      <c r="B227" s="2"/>
      <c r="C227" s="2"/>
      <c r="D227" s="2"/>
      <c r="E227" s="2"/>
      <c r="F227" s="2"/>
      <c r="G227" s="2"/>
      <c r="H227" s="3"/>
      <c r="I227" s="3"/>
      <c r="J227" s="3"/>
      <c r="K227" s="3"/>
      <c r="L227" s="3"/>
      <c r="M227" s="3"/>
      <c r="N227" s="3"/>
      <c r="O227" s="3"/>
      <c r="P227" s="3"/>
      <c r="Q227" s="3"/>
      <c r="R227" s="3"/>
      <c r="S227" s="3"/>
      <c r="T227" s="3"/>
      <c r="U227" s="3"/>
      <c r="V227" s="3"/>
      <c r="W227" s="3"/>
      <c r="X227" s="3"/>
      <c r="Y227" s="3"/>
      <c r="Z227" s="3"/>
    </row>
    <row r="228" spans="1:26" ht="15.75" customHeight="1">
      <c r="A228" s="1"/>
      <c r="B228" s="2"/>
      <c r="C228" s="2"/>
      <c r="D228" s="2"/>
      <c r="E228" s="2"/>
      <c r="F228" s="2"/>
      <c r="G228" s="2"/>
      <c r="H228" s="3"/>
      <c r="I228" s="3"/>
      <c r="J228" s="3"/>
      <c r="K228" s="3"/>
      <c r="L228" s="3"/>
      <c r="M228" s="3"/>
      <c r="N228" s="3"/>
      <c r="O228" s="3"/>
      <c r="P228" s="3"/>
      <c r="Q228" s="3"/>
      <c r="R228" s="3"/>
      <c r="S228" s="3"/>
      <c r="T228" s="3"/>
      <c r="U228" s="3"/>
      <c r="V228" s="3"/>
      <c r="W228" s="3"/>
      <c r="X228" s="3"/>
      <c r="Y228" s="3"/>
      <c r="Z228" s="3"/>
    </row>
    <row r="229" spans="1:26" ht="15.75" customHeight="1">
      <c r="A229" s="1"/>
      <c r="B229" s="2"/>
      <c r="C229" s="2"/>
      <c r="D229" s="2"/>
      <c r="E229" s="2"/>
      <c r="F229" s="2"/>
      <c r="G229" s="2"/>
      <c r="H229" s="3"/>
      <c r="I229" s="3"/>
      <c r="J229" s="3"/>
      <c r="K229" s="3"/>
      <c r="L229" s="3"/>
      <c r="M229" s="3"/>
      <c r="N229" s="3"/>
      <c r="O229" s="3"/>
      <c r="P229" s="3"/>
      <c r="Q229" s="3"/>
      <c r="R229" s="3"/>
      <c r="S229" s="3"/>
      <c r="T229" s="3"/>
      <c r="U229" s="3"/>
      <c r="V229" s="3"/>
      <c r="W229" s="3"/>
      <c r="X229" s="3"/>
      <c r="Y229" s="3"/>
      <c r="Z229" s="3"/>
    </row>
    <row r="230" spans="1:26" ht="15.75" customHeight="1">
      <c r="A230" s="1"/>
      <c r="B230" s="2"/>
      <c r="C230" s="2"/>
      <c r="D230" s="2"/>
      <c r="E230" s="2"/>
      <c r="F230" s="2"/>
      <c r="G230" s="2"/>
      <c r="H230" s="3"/>
      <c r="I230" s="3"/>
      <c r="J230" s="3"/>
      <c r="K230" s="3"/>
      <c r="L230" s="3"/>
      <c r="M230" s="3"/>
      <c r="N230" s="3"/>
      <c r="O230" s="3"/>
      <c r="P230" s="3"/>
      <c r="Q230" s="3"/>
      <c r="R230" s="3"/>
      <c r="S230" s="3"/>
      <c r="T230" s="3"/>
      <c r="U230" s="3"/>
      <c r="V230" s="3"/>
      <c r="W230" s="3"/>
      <c r="X230" s="3"/>
      <c r="Y230" s="3"/>
      <c r="Z230" s="3"/>
    </row>
    <row r="231" spans="1:26" ht="15.75" customHeight="1"/>
    <row r="232" spans="1:26" ht="15.75" customHeight="1"/>
    <row r="233" spans="1:26" ht="15.75" customHeight="1"/>
    <row r="234" spans="1:26" ht="15.75" customHeight="1"/>
    <row r="235" spans="1:26" ht="15.75" customHeight="1"/>
    <row r="236" spans="1:26" ht="15.75" customHeight="1"/>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C27:D27"/>
    <mergeCell ref="C28:D28"/>
    <mergeCell ref="D73:G73"/>
    <mergeCell ref="D74:G74"/>
    <mergeCell ref="C29:D29"/>
    <mergeCell ref="C30:D30"/>
    <mergeCell ref="C32:D32"/>
    <mergeCell ref="D69:G69"/>
    <mergeCell ref="D70:G70"/>
    <mergeCell ref="D71:G71"/>
    <mergeCell ref="D72:G72"/>
    <mergeCell ref="B2:C2"/>
    <mergeCell ref="B22:D22"/>
    <mergeCell ref="B23:D23"/>
    <mergeCell ref="C25:D25"/>
    <mergeCell ref="C26:D26"/>
  </mergeCells>
  <pageMargins left="0.7" right="0.7" top="0.75" bottom="0.75" header="0" footer="0"/>
  <pageSetup paperSize="9" orientation="portrait"/>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985E9"/>
    <outlinePr summaryBelow="0" summaryRight="0"/>
  </sheetPr>
  <dimension ref="A1:Z1000"/>
  <sheetViews>
    <sheetView showGridLines="0" workbookViewId="0">
      <pane ySplit="3" topLeftCell="A4" activePane="bottomLeft" state="frozen"/>
      <selection pane="bottomLeft" activeCell="B5" sqref="B5"/>
    </sheetView>
  </sheetViews>
  <sheetFormatPr defaultColWidth="12.59765625" defaultRowHeight="15" customHeight="1" outlineLevelRow="1"/>
  <cols>
    <col min="1" max="1" width="2.8984375" customWidth="1"/>
    <col min="2" max="2" width="7.3984375" customWidth="1"/>
    <col min="3" max="3" width="58.3984375" customWidth="1"/>
    <col min="4" max="4" width="20.3984375" customWidth="1"/>
    <col min="5" max="5" width="22.09765625" customWidth="1"/>
    <col min="6" max="6" width="18" customWidth="1"/>
    <col min="7" max="7" width="25.3984375" customWidth="1"/>
  </cols>
  <sheetData>
    <row r="1" spans="1:26" ht="15.75" customHeight="1">
      <c r="A1" s="36"/>
      <c r="B1" s="37"/>
      <c r="C1" s="37"/>
      <c r="D1" s="38"/>
      <c r="E1" s="38"/>
      <c r="F1" s="38"/>
      <c r="G1" s="37"/>
      <c r="H1" s="39"/>
      <c r="I1" s="39"/>
      <c r="J1" s="39"/>
      <c r="K1" s="39"/>
      <c r="L1" s="39"/>
      <c r="M1" s="39"/>
      <c r="N1" s="39"/>
      <c r="O1" s="39"/>
      <c r="P1" s="39"/>
      <c r="Q1" s="39"/>
      <c r="R1" s="3"/>
      <c r="S1" s="3"/>
      <c r="T1" s="3"/>
      <c r="U1" s="3"/>
      <c r="V1" s="3"/>
      <c r="W1" s="3"/>
      <c r="X1" s="3"/>
    </row>
    <row r="2" spans="1:26" ht="24.6">
      <c r="A2" s="36"/>
      <c r="B2" s="187" t="s">
        <v>32</v>
      </c>
      <c r="C2" s="180"/>
      <c r="D2" s="180"/>
      <c r="E2" s="180"/>
      <c r="F2" s="180"/>
      <c r="G2" s="37"/>
      <c r="H2" s="39"/>
      <c r="I2" s="39"/>
      <c r="J2" s="39"/>
      <c r="K2" s="39"/>
      <c r="L2" s="39"/>
      <c r="M2" s="39"/>
      <c r="N2" s="39"/>
      <c r="O2" s="39"/>
      <c r="P2" s="39"/>
      <c r="Q2" s="39"/>
      <c r="R2" s="3"/>
      <c r="S2" s="3"/>
      <c r="T2" s="3"/>
      <c r="U2" s="3"/>
      <c r="V2" s="3"/>
      <c r="W2" s="3"/>
      <c r="X2" s="3"/>
    </row>
    <row r="3" spans="1:26" ht="38.4">
      <c r="A3" s="36"/>
      <c r="B3" s="40" t="s">
        <v>33</v>
      </c>
      <c r="C3" s="40" t="s">
        <v>34</v>
      </c>
      <c r="D3" s="41" t="s">
        <v>35</v>
      </c>
      <c r="E3" s="41" t="s">
        <v>36</v>
      </c>
      <c r="F3" s="41" t="s">
        <v>37</v>
      </c>
      <c r="G3" s="37"/>
      <c r="H3" s="37"/>
      <c r="I3" s="37"/>
      <c r="J3" s="37"/>
      <c r="K3" s="37"/>
      <c r="L3" s="37"/>
      <c r="M3" s="37"/>
      <c r="N3" s="37"/>
      <c r="O3" s="37"/>
      <c r="P3" s="37"/>
      <c r="Q3" s="37"/>
      <c r="R3" s="42"/>
      <c r="S3" s="42"/>
      <c r="T3" s="42"/>
      <c r="U3" s="42"/>
      <c r="V3" s="42"/>
      <c r="W3" s="42"/>
      <c r="X3" s="42"/>
    </row>
    <row r="4" spans="1:26" ht="15.75" customHeight="1">
      <c r="A4" s="36"/>
      <c r="B4" s="43"/>
      <c r="C4" s="44" t="s">
        <v>38</v>
      </c>
      <c r="D4" s="45">
        <f>IFERROR(COUNTIF('Order Level'!I:I,"Delivered"),0)</f>
        <v>151</v>
      </c>
      <c r="E4" s="45">
        <f>IFERROR(COUNTIF('Order Level'!I:I,"CANCELLED")+COUNTIF('Order Level'!I:I,"REJECTED")+COUNTIF('Order Level'!I:I,"TIMEDOUT"),0)</f>
        <v>0</v>
      </c>
      <c r="F4" s="45">
        <f>SUM(D4:E4)</f>
        <v>151</v>
      </c>
      <c r="G4" s="46"/>
      <c r="H4" s="39"/>
      <c r="I4" s="39"/>
      <c r="J4" s="39"/>
      <c r="K4" s="39"/>
      <c r="L4" s="39"/>
      <c r="M4" s="39"/>
      <c r="N4" s="39"/>
      <c r="O4" s="39"/>
      <c r="P4" s="39"/>
      <c r="Q4" s="39"/>
      <c r="R4" s="3"/>
      <c r="S4" s="3"/>
      <c r="T4" s="3"/>
      <c r="U4" s="3"/>
      <c r="V4" s="3"/>
      <c r="W4" s="3"/>
      <c r="X4" s="3"/>
    </row>
    <row r="5" spans="1:26" ht="15.75" customHeight="1">
      <c r="A5" s="47"/>
      <c r="B5" s="48"/>
      <c r="C5" s="49"/>
      <c r="D5" s="50"/>
      <c r="E5" s="50"/>
      <c r="F5" s="50"/>
      <c r="G5" s="46"/>
      <c r="H5" s="39"/>
      <c r="I5" s="39"/>
      <c r="J5" s="39"/>
      <c r="K5" s="39"/>
      <c r="L5" s="39"/>
      <c r="M5" s="39"/>
      <c r="N5" s="39"/>
      <c r="O5" s="39"/>
      <c r="P5" s="39"/>
      <c r="Q5" s="39"/>
      <c r="R5" s="3"/>
      <c r="S5" s="3"/>
      <c r="T5" s="3"/>
      <c r="U5" s="3"/>
      <c r="V5" s="3"/>
      <c r="W5" s="3"/>
      <c r="X5" s="3"/>
    </row>
    <row r="6" spans="1:26" ht="35.25" customHeight="1">
      <c r="A6" s="47"/>
      <c r="B6" s="51" t="s">
        <v>39</v>
      </c>
      <c r="C6" s="52" t="s">
        <v>40</v>
      </c>
      <c r="D6" s="53">
        <f>D7+D8+D9-D10-D11+D14+D12-D13</f>
        <v>68930.399999999994</v>
      </c>
      <c r="E6" s="53">
        <f>E7+E8+E9-E10-E11+E12+E14</f>
        <v>0</v>
      </c>
      <c r="F6" s="54">
        <f>F7+F8+F9-F10-F11+F14+F12-F13</f>
        <v>68930.399999999994</v>
      </c>
      <c r="G6" s="46"/>
      <c r="H6" s="39"/>
      <c r="I6" s="39"/>
      <c r="J6" s="39"/>
      <c r="K6" s="39"/>
      <c r="L6" s="39"/>
      <c r="M6" s="39"/>
      <c r="N6" s="39"/>
      <c r="O6" s="39"/>
      <c r="P6" s="39"/>
      <c r="Q6" s="39"/>
      <c r="R6" s="3"/>
      <c r="S6" s="3"/>
      <c r="T6" s="3"/>
      <c r="U6" s="3"/>
      <c r="V6" s="3"/>
      <c r="W6" s="3"/>
      <c r="X6" s="3"/>
    </row>
    <row r="7" spans="1:26" ht="15.75" customHeight="1">
      <c r="A7" s="47"/>
      <c r="B7" s="55" t="s">
        <v>41</v>
      </c>
      <c r="C7" s="56" t="str">
        <f>'Order Level'!O1</f>
        <v>Subtotal (items total)</v>
      </c>
      <c r="D7" s="57">
        <f>SUMIFS('Order Level'!$O:$O,'Order Level'!$I:$I,"DELIVERED")</f>
        <v>65648</v>
      </c>
      <c r="E7" s="57">
        <v>0</v>
      </c>
      <c r="F7" s="57">
        <f t="shared" ref="F7:F14" si="0">SUM(D7:E7)</f>
        <v>65648</v>
      </c>
      <c r="G7" s="46"/>
      <c r="H7" s="39"/>
      <c r="I7" s="39"/>
      <c r="J7" s="39"/>
      <c r="K7" s="39"/>
      <c r="L7" s="39"/>
      <c r="M7" s="39"/>
      <c r="N7" s="39"/>
      <c r="O7" s="39"/>
      <c r="P7" s="39"/>
      <c r="Q7" s="39"/>
      <c r="R7" s="3"/>
      <c r="S7" s="3"/>
      <c r="T7" s="3"/>
      <c r="U7" s="3"/>
      <c r="V7" s="3"/>
      <c r="W7" s="3"/>
      <c r="X7" s="3"/>
    </row>
    <row r="8" spans="1:26" ht="15.75" customHeight="1">
      <c r="A8" s="47"/>
      <c r="B8" s="55" t="s">
        <v>42</v>
      </c>
      <c r="C8" s="58" t="str">
        <f>'Order Level'!P1</f>
        <v>Packaging charge</v>
      </c>
      <c r="D8" s="57">
        <f>IFERROR(SUMIFS('Order Level'!$P:$P,'Order Level'!$I:$I,"DELIVERED"),0)</f>
        <v>0</v>
      </c>
      <c r="E8" s="57">
        <v>0</v>
      </c>
      <c r="F8" s="57">
        <f t="shared" si="0"/>
        <v>0</v>
      </c>
      <c r="G8" s="46"/>
      <c r="H8" s="39"/>
      <c r="I8" s="39"/>
      <c r="J8" s="39"/>
      <c r="K8" s="39"/>
      <c r="L8" s="39"/>
      <c r="M8" s="39"/>
      <c r="N8" s="39"/>
      <c r="O8" s="39"/>
      <c r="P8" s="39"/>
      <c r="Q8" s="39"/>
      <c r="R8" s="3"/>
      <c r="S8" s="3"/>
      <c r="T8" s="3"/>
      <c r="U8" s="3"/>
      <c r="V8" s="3"/>
      <c r="W8" s="3"/>
      <c r="X8" s="3"/>
    </row>
    <row r="9" spans="1:26" ht="15.75" customHeight="1">
      <c r="A9" s="47"/>
      <c r="B9" s="55" t="s">
        <v>43</v>
      </c>
      <c r="C9" s="58" t="str">
        <f>'Order Level'!Q1</f>
        <v>Delivery charge for restaurants on self logistics</v>
      </c>
      <c r="D9" s="57">
        <f>IFERROR(SUMIFS('Order Level'!$Q:$Q,'Order Level'!$I:$I,"DELIVERED"),0)</f>
        <v>0</v>
      </c>
      <c r="E9" s="57">
        <v>0</v>
      </c>
      <c r="F9" s="57">
        <f t="shared" si="0"/>
        <v>0</v>
      </c>
      <c r="G9" s="46"/>
      <c r="H9" s="39"/>
      <c r="I9" s="39"/>
      <c r="J9" s="39"/>
      <c r="K9" s="39"/>
      <c r="L9" s="39"/>
      <c r="M9" s="39"/>
      <c r="N9" s="39"/>
      <c r="O9" s="39"/>
      <c r="P9" s="39"/>
      <c r="Q9" s="39"/>
      <c r="R9" s="3"/>
      <c r="S9" s="3"/>
      <c r="T9" s="3"/>
      <c r="U9" s="3"/>
      <c r="V9" s="3"/>
      <c r="W9" s="3"/>
      <c r="X9" s="3"/>
    </row>
    <row r="10" spans="1:26" ht="15.75" customHeight="1">
      <c r="A10" s="47"/>
      <c r="B10" s="55" t="s">
        <v>44</v>
      </c>
      <c r="C10" s="58" t="str">
        <f>'Order Level'!R1</f>
        <v>Restaurant discount [Promo]</v>
      </c>
      <c r="D10" s="57">
        <f>IFERROR(SUMIFS('Order Level'!$R:$R,'Order Level'!$I:$I,"DELIVERED"),0)</f>
        <v>0</v>
      </c>
      <c r="E10" s="57">
        <v>0</v>
      </c>
      <c r="F10" s="57">
        <f t="shared" si="0"/>
        <v>0</v>
      </c>
      <c r="G10" s="46"/>
      <c r="H10" s="39"/>
      <c r="I10" s="39"/>
      <c r="J10" s="39"/>
      <c r="K10" s="39"/>
      <c r="L10" s="39"/>
      <c r="M10" s="39"/>
      <c r="N10" s="39"/>
      <c r="O10" s="39"/>
      <c r="P10" s="39"/>
      <c r="Q10" s="39"/>
      <c r="R10" s="3"/>
      <c r="S10" s="3"/>
      <c r="T10" s="3"/>
      <c r="U10" s="3"/>
      <c r="V10" s="3"/>
      <c r="W10" s="3"/>
      <c r="X10" s="3"/>
    </row>
    <row r="11" spans="1:26" ht="15.75" customHeight="1">
      <c r="A11" s="47"/>
      <c r="B11" s="55" t="s">
        <v>45</v>
      </c>
      <c r="C11" s="58" t="str">
        <f>'Order Level'!S1</f>
        <v>Restaurant Discount [BOGO, Freebies, Gold, Brand pack &amp; others]</v>
      </c>
      <c r="D11" s="59">
        <f>IFERROR(SUMIFS('Order Level'!$S:$S,'Order Level'!$I:$I,"DELIVERED"),0)</f>
        <v>0</v>
      </c>
      <c r="E11" s="57">
        <v>0</v>
      </c>
      <c r="F11" s="57">
        <f t="shared" si="0"/>
        <v>0</v>
      </c>
      <c r="G11" s="46" t="s">
        <v>46</v>
      </c>
      <c r="H11" s="39"/>
      <c r="I11" s="39"/>
      <c r="J11" s="39"/>
      <c r="K11" s="39"/>
      <c r="L11" s="39"/>
      <c r="M11" s="39"/>
      <c r="N11" s="39"/>
      <c r="O11" s="39"/>
      <c r="P11" s="39"/>
      <c r="Q11" s="39"/>
      <c r="R11" s="3"/>
      <c r="S11" s="3"/>
      <c r="T11" s="3"/>
      <c r="U11" s="3"/>
      <c r="V11" s="3"/>
      <c r="W11" s="3"/>
      <c r="X11" s="3"/>
    </row>
    <row r="12" spans="1:26" ht="15.75" customHeight="1">
      <c r="A12" s="60"/>
      <c r="B12" s="61" t="s">
        <v>47</v>
      </c>
      <c r="C12" s="58" t="str">
        <f>'Order Level'!T1</f>
        <v xml:space="preserve">Brand pack subscription fee </v>
      </c>
      <c r="D12" s="62">
        <f>IFERROR(SUMIFS('Order Level'!$T:$T,'Order Level'!$I:$I,"DELIVERED"),0)</f>
        <v>0</v>
      </c>
      <c r="E12" s="63">
        <v>0</v>
      </c>
      <c r="F12" s="64">
        <f t="shared" si="0"/>
        <v>0</v>
      </c>
      <c r="G12" s="65"/>
      <c r="H12" s="66"/>
      <c r="I12" s="66"/>
      <c r="J12" s="66"/>
      <c r="K12" s="66"/>
      <c r="L12" s="66"/>
      <c r="M12" s="66"/>
      <c r="N12" s="66"/>
      <c r="O12" s="66"/>
      <c r="P12" s="66"/>
      <c r="Q12" s="66"/>
      <c r="R12" s="66"/>
      <c r="S12" s="66"/>
      <c r="T12" s="66"/>
      <c r="U12" s="66"/>
      <c r="V12" s="66"/>
      <c r="W12" s="66"/>
      <c r="X12" s="66"/>
      <c r="Y12" s="66"/>
      <c r="Z12" s="66"/>
    </row>
    <row r="13" spans="1:26" ht="15.75" customHeight="1">
      <c r="A13" s="47"/>
      <c r="B13" s="67" t="s">
        <v>48</v>
      </c>
      <c r="C13" s="58" t="str">
        <f>'Order Level'!U1</f>
        <v xml:space="preserve">Delivery charge discount / Relisting discount </v>
      </c>
      <c r="D13" s="59">
        <f>IFERROR(SUMIFS('Order Level'!$U:$U,'Order Level'!$I:$I,"DELIVERED"),0)</f>
        <v>0</v>
      </c>
      <c r="E13" s="57">
        <v>0</v>
      </c>
      <c r="F13" s="57">
        <f t="shared" si="0"/>
        <v>0</v>
      </c>
      <c r="G13" s="46"/>
      <c r="H13" s="39"/>
      <c r="I13" s="39"/>
      <c r="J13" s="39"/>
      <c r="K13" s="39"/>
      <c r="L13" s="39"/>
      <c r="M13" s="39"/>
      <c r="N13" s="39"/>
      <c r="O13" s="39"/>
      <c r="P13" s="39"/>
      <c r="Q13" s="39"/>
      <c r="R13" s="3"/>
      <c r="S13" s="3"/>
      <c r="T13" s="3"/>
      <c r="U13" s="3"/>
      <c r="V13" s="3"/>
      <c r="W13" s="3"/>
      <c r="X13" s="3"/>
    </row>
    <row r="14" spans="1:26" ht="15.75" customHeight="1">
      <c r="A14" s="47"/>
      <c r="B14" s="67" t="s">
        <v>49</v>
      </c>
      <c r="C14" s="56" t="str">
        <f>'Order Level'!V1</f>
        <v>Total GST collected from customers</v>
      </c>
      <c r="D14" s="57">
        <f>IFERROR(SUMIFS('Order Level'!$V:$V,'Order Level'!$I:$I,"DELIVERED"),0)</f>
        <v>3282.3999999999987</v>
      </c>
      <c r="E14" s="57">
        <f>IFERROR(SUMIFS('Order Level'!$V:$V,'Order Level'!$I:$I,"CANCELLED")+SUMIFS('Order Level'!$V:$V,'Order Level'!$I:$I,"REJECTED")+SUMIFS('Order Level'!$V:$V,'Order Level'!$I:$I,"TIMEDOUT"),0)</f>
        <v>0</v>
      </c>
      <c r="F14" s="57">
        <f t="shared" si="0"/>
        <v>3282.3999999999987</v>
      </c>
      <c r="G14" s="46"/>
      <c r="H14" s="39"/>
      <c r="I14" s="39"/>
      <c r="J14" s="39"/>
      <c r="K14" s="39"/>
      <c r="L14" s="39"/>
      <c r="M14" s="39"/>
      <c r="N14" s="39"/>
      <c r="O14" s="39"/>
      <c r="P14" s="39"/>
      <c r="Q14" s="39"/>
      <c r="R14" s="3"/>
      <c r="S14" s="3"/>
      <c r="T14" s="3"/>
      <c r="U14" s="3"/>
      <c r="V14" s="3"/>
      <c r="W14" s="3"/>
      <c r="X14" s="3"/>
    </row>
    <row r="15" spans="1:26" ht="15.75" customHeight="1">
      <c r="A15" s="36"/>
      <c r="B15" s="43"/>
      <c r="C15" s="43"/>
      <c r="D15" s="68"/>
      <c r="E15" s="68"/>
      <c r="F15" s="68"/>
      <c r="G15" s="46"/>
      <c r="H15" s="39"/>
      <c r="I15" s="39"/>
      <c r="J15" s="39"/>
      <c r="K15" s="39"/>
      <c r="L15" s="39"/>
      <c r="M15" s="39"/>
      <c r="N15" s="39"/>
      <c r="O15" s="39"/>
      <c r="P15" s="39"/>
      <c r="Q15" s="39"/>
      <c r="R15" s="3"/>
      <c r="S15" s="3"/>
      <c r="T15" s="3"/>
      <c r="U15" s="3"/>
      <c r="V15" s="3"/>
      <c r="W15" s="3"/>
      <c r="X15" s="3"/>
    </row>
    <row r="16" spans="1:26" ht="31.2">
      <c r="A16" s="69"/>
      <c r="B16" s="70" t="s">
        <v>50</v>
      </c>
      <c r="C16" s="71" t="s">
        <v>51</v>
      </c>
      <c r="D16" s="72">
        <f t="shared" ref="D16:F16" si="1">D6-D14-D9-D12+D13</f>
        <v>65648</v>
      </c>
      <c r="E16" s="72">
        <f t="shared" si="1"/>
        <v>0</v>
      </c>
      <c r="F16" s="72">
        <f t="shared" si="1"/>
        <v>65648</v>
      </c>
      <c r="G16" s="73"/>
      <c r="H16" s="74"/>
      <c r="I16" s="74"/>
      <c r="J16" s="74"/>
      <c r="K16" s="74"/>
      <c r="L16" s="74"/>
      <c r="M16" s="74"/>
      <c r="N16" s="74"/>
      <c r="O16" s="74"/>
      <c r="P16" s="74"/>
      <c r="Q16" s="74"/>
      <c r="R16" s="75"/>
      <c r="S16" s="75"/>
      <c r="T16" s="75"/>
      <c r="U16" s="75"/>
      <c r="V16" s="75"/>
      <c r="W16" s="75"/>
      <c r="X16" s="75"/>
      <c r="Y16" s="76"/>
      <c r="Z16" s="76"/>
    </row>
    <row r="17" spans="1:24" ht="18.75" customHeight="1">
      <c r="A17" s="77"/>
      <c r="B17" s="43"/>
      <c r="C17" s="43"/>
      <c r="D17" s="68"/>
      <c r="E17" s="68"/>
      <c r="F17" s="68"/>
      <c r="G17" s="46"/>
      <c r="H17" s="39"/>
      <c r="I17" s="39"/>
      <c r="J17" s="39"/>
      <c r="K17" s="39"/>
      <c r="L17" s="39"/>
      <c r="M17" s="39"/>
      <c r="N17" s="39"/>
      <c r="O17" s="39"/>
      <c r="P17" s="39"/>
      <c r="Q17" s="39"/>
      <c r="R17" s="3"/>
      <c r="S17" s="3"/>
      <c r="T17" s="3"/>
      <c r="U17" s="3"/>
      <c r="V17" s="3"/>
      <c r="W17" s="3"/>
      <c r="X17" s="3"/>
    </row>
    <row r="18" spans="1:24" ht="34.5" customHeight="1">
      <c r="A18" s="36"/>
      <c r="B18" s="51" t="s">
        <v>52</v>
      </c>
      <c r="C18" s="52" t="s">
        <v>53</v>
      </c>
      <c r="D18" s="78">
        <f t="shared" ref="D18:F18" si="2">D19+D20</f>
        <v>15710.8</v>
      </c>
      <c r="E18" s="78">
        <f t="shared" si="2"/>
        <v>0</v>
      </c>
      <c r="F18" s="79">
        <f t="shared" si="2"/>
        <v>15710.8</v>
      </c>
      <c r="G18" s="46"/>
      <c r="H18" s="39"/>
      <c r="I18" s="39"/>
      <c r="J18" s="39"/>
      <c r="K18" s="39"/>
      <c r="L18" s="39"/>
      <c r="M18" s="39"/>
      <c r="N18" s="39"/>
      <c r="O18" s="39"/>
      <c r="P18" s="39"/>
      <c r="Q18" s="39"/>
      <c r="R18" s="3"/>
      <c r="S18" s="3"/>
      <c r="T18" s="3"/>
      <c r="U18" s="3"/>
      <c r="V18" s="3"/>
      <c r="W18" s="3"/>
      <c r="X18" s="3"/>
    </row>
    <row r="19" spans="1:24" ht="18.75" customHeight="1">
      <c r="A19" s="36"/>
      <c r="B19" s="67" t="s">
        <v>54</v>
      </c>
      <c r="C19" s="58" t="str">
        <f>LEFT('Order Level'!Z1,FIND("[",'Order Level'!Z1)-2)</f>
        <v>Service fee</v>
      </c>
      <c r="D19" s="57">
        <f>IFERROR(SUMIFS('Order Level'!$Z:$Z,'Order Level'!$I:$I,"DELIVERED"),0)</f>
        <v>14442.56</v>
      </c>
      <c r="E19" s="57">
        <f>IFERROR(SUMIFS('Order Level'!$Z:$Z,'Order Level'!$I:$I,"CANCELLED")+SUMIFS('Order Level'!$Z:$Z,'Order Level'!$I:$I,"REJECTED")+SUMIFS('Order Level'!$Z:$Z,'Order Level'!$I:$I,"TIMEDOUT"),0)</f>
        <v>0</v>
      </c>
      <c r="F19" s="57">
        <f t="shared" ref="F19:F20" si="3">SUM(D19:E19)</f>
        <v>14442.56</v>
      </c>
      <c r="G19" s="46"/>
      <c r="H19" s="39"/>
      <c r="I19" s="39"/>
      <c r="J19" s="39"/>
      <c r="K19" s="39"/>
      <c r="L19" s="39"/>
      <c r="M19" s="39"/>
      <c r="N19" s="39"/>
      <c r="O19" s="39"/>
      <c r="P19" s="39"/>
      <c r="Q19" s="39"/>
      <c r="R19" s="3"/>
      <c r="S19" s="3"/>
      <c r="T19" s="3"/>
      <c r="U19" s="3"/>
      <c r="V19" s="3"/>
      <c r="W19" s="3"/>
      <c r="X19" s="3"/>
    </row>
    <row r="20" spans="1:24" ht="15.75" customHeight="1">
      <c r="A20" s="47"/>
      <c r="B20" s="67" t="s">
        <v>55</v>
      </c>
      <c r="C20" s="58" t="str">
        <f>'Order Level'!AA1</f>
        <v>Payment mechanism fee</v>
      </c>
      <c r="D20" s="57">
        <f>IFERROR(SUMIFS('Order Level'!$AA:$AA,'Order Level'!$I:$I,"DELIVERED"),0)</f>
        <v>1268.2400000000005</v>
      </c>
      <c r="E20" s="57">
        <f>IFERROR(SUMIFS('Order Level'!$AA:$AA,'Order Level'!$I:$I,"CANCELLED")+SUMIFS('Order Level'!$AA:$AA,'Order Level'!$I:$I,"REJECTED")++SUMIFS('Order Level'!$AA:$AA,'Order Level'!$I:$I,"TIMEDOUT"),0)</f>
        <v>0</v>
      </c>
      <c r="F20" s="57">
        <f t="shared" si="3"/>
        <v>1268.2400000000005</v>
      </c>
      <c r="G20" s="46"/>
      <c r="H20" s="39"/>
      <c r="I20" s="39"/>
      <c r="J20" s="39"/>
      <c r="K20" s="39"/>
      <c r="L20" s="39"/>
      <c r="M20" s="39"/>
      <c r="N20" s="39"/>
      <c r="O20" s="39"/>
      <c r="P20" s="39"/>
      <c r="Q20" s="39"/>
      <c r="R20" s="3"/>
      <c r="S20" s="3"/>
      <c r="T20" s="3"/>
      <c r="U20" s="3"/>
      <c r="V20" s="3"/>
      <c r="W20" s="3"/>
      <c r="X20" s="3"/>
    </row>
    <row r="21" spans="1:24" ht="15.75" customHeight="1">
      <c r="A21" s="47"/>
      <c r="B21" s="67"/>
      <c r="C21" s="58"/>
      <c r="D21" s="57"/>
      <c r="E21" s="57"/>
      <c r="F21" s="57"/>
      <c r="G21" s="46"/>
      <c r="H21" s="39"/>
      <c r="I21" s="39"/>
      <c r="J21" s="39"/>
      <c r="K21" s="39"/>
      <c r="L21" s="39"/>
      <c r="M21" s="39"/>
      <c r="N21" s="39"/>
      <c r="O21" s="39"/>
      <c r="P21" s="39"/>
      <c r="Q21" s="39"/>
      <c r="R21" s="3"/>
      <c r="S21" s="3"/>
      <c r="T21" s="3"/>
      <c r="U21" s="3"/>
      <c r="V21" s="3"/>
      <c r="W21" s="3"/>
      <c r="X21" s="3"/>
    </row>
    <row r="22" spans="1:24" ht="36.75" customHeight="1">
      <c r="A22" s="47"/>
      <c r="B22" s="51" t="s">
        <v>56</v>
      </c>
      <c r="C22" s="52" t="s">
        <v>57</v>
      </c>
      <c r="D22" s="78">
        <f t="shared" ref="D22:F22" si="4">SUM(D23:D26)</f>
        <v>6176.0899999999983</v>
      </c>
      <c r="E22" s="78">
        <f t="shared" si="4"/>
        <v>0</v>
      </c>
      <c r="F22" s="79">
        <f t="shared" si="4"/>
        <v>6176.0899999999983</v>
      </c>
      <c r="G22" s="46"/>
      <c r="H22" s="39"/>
      <c r="I22" s="39"/>
      <c r="J22" s="39"/>
      <c r="K22" s="39"/>
      <c r="L22" s="39"/>
      <c r="M22" s="39"/>
      <c r="N22" s="39"/>
      <c r="O22" s="39"/>
      <c r="P22" s="39"/>
      <c r="Q22" s="39"/>
      <c r="R22" s="3"/>
      <c r="S22" s="3"/>
      <c r="T22" s="3"/>
      <c r="U22" s="3"/>
      <c r="V22" s="3"/>
      <c r="W22" s="3"/>
      <c r="X22" s="3"/>
    </row>
    <row r="23" spans="1:24" ht="15.75" customHeight="1">
      <c r="A23" s="47"/>
      <c r="B23" s="67" t="s">
        <v>58</v>
      </c>
      <c r="C23" s="80" t="str">
        <f>LEFT('Order Level'!AC1,FIND("(",'Order Level'!AC1)-2)</f>
        <v>Taxes on service &amp; payment mechanism fees</v>
      </c>
      <c r="D23" s="57">
        <f>IFERROR(SUMIFS('Order Level'!$AC:$AC,'Order Level'!$I:$I,"DELIVERED"),0)</f>
        <v>2828.0399999999995</v>
      </c>
      <c r="E23" s="57">
        <f>SUMIFS('Order Level'!$AC:$AC,'Order Level'!$I:$I,"CANCELLED")+SUMIFS('Order Level'!$AC:$AC,'Order Level'!$I:$I,"REJECTED")+SUMIFS('Order Level'!$AC:$AC,'Order Level'!$I:$I,"TIMEDOUT")</f>
        <v>0</v>
      </c>
      <c r="F23" s="57">
        <f t="shared" ref="F23:F26" si="5">SUM(D23:E23)</f>
        <v>2828.0399999999995</v>
      </c>
      <c r="G23" s="46"/>
      <c r="H23" s="39"/>
      <c r="I23" s="39"/>
      <c r="J23" s="39"/>
      <c r="K23" s="39"/>
      <c r="L23" s="39"/>
      <c r="M23" s="39"/>
      <c r="N23" s="39"/>
      <c r="O23" s="39"/>
      <c r="P23" s="39"/>
      <c r="Q23" s="39"/>
      <c r="R23" s="3"/>
      <c r="S23" s="3"/>
      <c r="T23" s="3"/>
      <c r="U23" s="3"/>
      <c r="V23" s="3"/>
      <c r="W23" s="3"/>
      <c r="X23" s="3"/>
    </row>
    <row r="24" spans="1:24" ht="15.75" customHeight="1">
      <c r="A24" s="47"/>
      <c r="B24" s="67" t="s">
        <v>59</v>
      </c>
      <c r="C24" s="80" t="str">
        <f>'Order Level'!AF1&amp;" + "&amp;'Order Level'!AG1</f>
        <v>Tax collected at source + TCS IGST amount</v>
      </c>
      <c r="D24" s="57">
        <f>IFERROR(SUMIFS('Order Level'!$AF:$AF,'Order Level'!$I:$I,"DELIVERED")+SUMIFS('Order Level'!$AG:$AG,'Order Level'!$I:$I,"DELIVERED"),0)</f>
        <v>0</v>
      </c>
      <c r="E24" s="57">
        <f>SUMIFS('Order Level'!$AF:$AF,'Order Level'!$I:$I,"CANCELLED")+SUMIFS('Order Level'!$AG:$AG,'Order Level'!$I:$I,"CANCELLED")+SUMIFS('Order Level'!$AF:$AF,'Order Level'!$I:$I,"REJECTED")+SUMIFS('Order Level'!$AG:$AG,'Order Level'!$I:$I,"REJECTED")+SUMIFS('Order Level'!$AF:$AF,'Order Level'!$I:$I,"TIMEDOUT")+SUMIFS('Order Level'!$AG:$AG,'Order Level'!$I:$I,"TIMEDOUT")</f>
        <v>0</v>
      </c>
      <c r="F24" s="57">
        <f t="shared" si="5"/>
        <v>0</v>
      </c>
      <c r="G24" s="46"/>
      <c r="H24" s="39"/>
      <c r="I24" s="39"/>
      <c r="J24" s="39"/>
      <c r="K24" s="39"/>
      <c r="L24" s="39"/>
      <c r="M24" s="39"/>
      <c r="N24" s="39"/>
      <c r="O24" s="39"/>
      <c r="P24" s="39"/>
      <c r="Q24" s="39"/>
      <c r="R24" s="3"/>
      <c r="S24" s="3"/>
      <c r="T24" s="3"/>
      <c r="U24" s="3"/>
      <c r="V24" s="3"/>
      <c r="W24" s="3"/>
      <c r="X24" s="3"/>
    </row>
    <row r="25" spans="1:24" ht="15.75" customHeight="1">
      <c r="A25" s="47"/>
      <c r="B25" s="67" t="s">
        <v>60</v>
      </c>
      <c r="C25" s="58" t="str">
        <f>'Order Level'!AH1</f>
        <v>TDS 194O amount</v>
      </c>
      <c r="D25" s="57">
        <f>IFERROR(SUMIFS('Order Level'!$AH:$AH,'Order Level'!$I:$I,"DELIVERED"),0)</f>
        <v>65.649999999999977</v>
      </c>
      <c r="E25" s="57">
        <f>IFERROR(SUMIFS('Order Level'!$AH:$AH,'Order Level'!$I:$I,"CANCELLED")+SUMIFS('Order Level'!$AH:$AH,'Order Level'!$I:$I,"REJECTED")+SUMIFS('Order Level'!$AH:$AH,'Order Level'!$I:$I,"TIMEDOUT"),0)</f>
        <v>0</v>
      </c>
      <c r="F25" s="57">
        <f t="shared" si="5"/>
        <v>65.649999999999977</v>
      </c>
      <c r="G25" s="46"/>
      <c r="H25" s="39"/>
      <c r="I25" s="39"/>
      <c r="J25" s="39"/>
      <c r="K25" s="39"/>
      <c r="L25" s="39"/>
      <c r="M25" s="39"/>
      <c r="N25" s="39"/>
      <c r="O25" s="39"/>
      <c r="P25" s="39"/>
      <c r="Q25" s="39"/>
      <c r="R25" s="3"/>
      <c r="S25" s="3"/>
      <c r="T25" s="3"/>
      <c r="U25" s="3"/>
      <c r="V25" s="3"/>
      <c r="W25" s="3"/>
      <c r="X25" s="3"/>
    </row>
    <row r="26" spans="1:24" ht="15.75" customHeight="1">
      <c r="A26" s="47"/>
      <c r="B26" s="67" t="s">
        <v>61</v>
      </c>
      <c r="C26" s="56" t="str">
        <f>'Order Level'!AI1</f>
        <v>GST paid by Zomato on behalf of restaurant - under section 9(5)</v>
      </c>
      <c r="D26" s="57">
        <f>IFERROR(SUMIFS('Order Level'!$AI:$AI,'Order Level'!$I:$I,"DELIVERED"),0)</f>
        <v>3282.3999999999987</v>
      </c>
      <c r="E26" s="57">
        <v>0</v>
      </c>
      <c r="F26" s="57">
        <f t="shared" si="5"/>
        <v>3282.3999999999987</v>
      </c>
      <c r="G26" s="46"/>
      <c r="H26" s="39"/>
      <c r="I26" s="39"/>
      <c r="J26" s="39"/>
      <c r="K26" s="39"/>
      <c r="L26" s="39"/>
      <c r="M26" s="39"/>
      <c r="N26" s="39"/>
      <c r="O26" s="39"/>
      <c r="P26" s="39"/>
      <c r="Q26" s="39"/>
      <c r="R26" s="3"/>
      <c r="S26" s="3"/>
      <c r="T26" s="3"/>
      <c r="U26" s="3"/>
      <c r="V26" s="3"/>
      <c r="W26" s="3"/>
      <c r="X26" s="3"/>
    </row>
    <row r="27" spans="1:24" ht="15.75" customHeight="1">
      <c r="A27" s="47"/>
      <c r="B27" s="67"/>
      <c r="C27" s="56"/>
      <c r="D27" s="57"/>
      <c r="E27" s="57"/>
      <c r="F27" s="57"/>
      <c r="G27" s="46"/>
      <c r="H27" s="39"/>
      <c r="I27" s="39"/>
      <c r="J27" s="39"/>
      <c r="K27" s="39"/>
      <c r="L27" s="39"/>
      <c r="M27" s="39"/>
      <c r="N27" s="39"/>
      <c r="O27" s="39"/>
      <c r="P27" s="39"/>
      <c r="Q27" s="39"/>
      <c r="R27" s="3"/>
      <c r="S27" s="3"/>
      <c r="T27" s="3"/>
      <c r="U27" s="3"/>
      <c r="V27" s="3"/>
      <c r="W27" s="3"/>
      <c r="X27" s="3"/>
    </row>
    <row r="28" spans="1:24" ht="34.5" customHeight="1">
      <c r="A28" s="47"/>
      <c r="B28" s="51" t="s">
        <v>62</v>
      </c>
      <c r="C28" s="52" t="s">
        <v>63</v>
      </c>
      <c r="D28" s="78">
        <f t="shared" ref="D28:F28" si="6">D29+SUM(D38:D39)</f>
        <v>0</v>
      </c>
      <c r="E28" s="78">
        <f t="shared" si="6"/>
        <v>0</v>
      </c>
      <c r="F28" s="79">
        <f t="shared" si="6"/>
        <v>0</v>
      </c>
      <c r="G28" s="46"/>
      <c r="H28" s="39"/>
      <c r="I28" s="39"/>
      <c r="J28" s="39"/>
      <c r="K28" s="39"/>
      <c r="L28" s="39"/>
      <c r="M28" s="39"/>
      <c r="N28" s="39"/>
      <c r="O28" s="39"/>
      <c r="P28" s="39"/>
      <c r="Q28" s="39"/>
      <c r="R28" s="3"/>
      <c r="S28" s="3"/>
      <c r="T28" s="3"/>
      <c r="U28" s="3"/>
      <c r="V28" s="3"/>
      <c r="W28" s="3"/>
      <c r="X28" s="3"/>
    </row>
    <row r="29" spans="1:24" ht="15.75" customHeight="1">
      <c r="A29" s="47"/>
      <c r="B29" s="67" t="s">
        <v>64</v>
      </c>
      <c r="C29" s="80" t="s">
        <v>65</v>
      </c>
      <c r="D29" s="57">
        <f t="shared" ref="D29:E29" si="7">SUM(D30:D37)</f>
        <v>0</v>
      </c>
      <c r="E29" s="57">
        <f t="shared" si="7"/>
        <v>0</v>
      </c>
      <c r="F29" s="57">
        <f t="shared" ref="F29:F39" si="8">SUM(D29:E29)</f>
        <v>0</v>
      </c>
      <c r="G29" s="46"/>
      <c r="H29" s="39"/>
      <c r="I29" s="39"/>
      <c r="J29" s="39"/>
      <c r="K29" s="39"/>
      <c r="L29" s="39"/>
      <c r="M29" s="39"/>
      <c r="N29" s="39"/>
      <c r="O29" s="39"/>
      <c r="P29" s="39"/>
      <c r="Q29" s="39"/>
      <c r="R29" s="3"/>
      <c r="S29" s="3"/>
      <c r="T29" s="3"/>
      <c r="U29" s="3"/>
      <c r="V29" s="3"/>
      <c r="W29" s="3"/>
      <c r="X29" s="3"/>
    </row>
    <row r="30" spans="1:24" ht="15.75" customHeight="1" outlineLevel="1">
      <c r="A30" s="36"/>
      <c r="B30" s="81"/>
      <c r="C30" s="82" t="str">
        <f>'Order Level'!AL1</f>
        <v>Customer Compensation/Recoupment</v>
      </c>
      <c r="D30" s="57">
        <f>IFERROR(SUMIFS('Order Level'!$AL:$AL,'Order Level'!$I:$I,"DELIVERED"),0)</f>
        <v>0</v>
      </c>
      <c r="E30" s="57">
        <f>IFERROR(SUMIFS('Order Level'!$AL:$AL,'Order Level'!$I:$I,"CANCELLED"),0)</f>
        <v>0</v>
      </c>
      <c r="F30" s="57">
        <f t="shared" si="8"/>
        <v>0</v>
      </c>
      <c r="G30" s="46"/>
      <c r="H30" s="39"/>
      <c r="I30" s="39"/>
      <c r="J30" s="39"/>
      <c r="K30" s="39"/>
      <c r="L30" s="39"/>
      <c r="M30" s="39"/>
      <c r="N30" s="39"/>
      <c r="O30" s="39"/>
      <c r="P30" s="39"/>
      <c r="Q30" s="39"/>
      <c r="R30" s="3"/>
      <c r="S30" s="3"/>
      <c r="T30" s="3"/>
      <c r="U30" s="3"/>
      <c r="V30" s="3"/>
      <c r="W30" s="3"/>
      <c r="X30" s="3"/>
    </row>
    <row r="31" spans="1:24" ht="15.75" customHeight="1" outlineLevel="1">
      <c r="A31" s="36"/>
      <c r="B31" s="81"/>
      <c r="C31" s="82" t="s">
        <v>66</v>
      </c>
      <c r="D31" s="57">
        <v>0</v>
      </c>
      <c r="E31" s="57">
        <f>IFERROR(SUMIFS('Order Level'!$AL:$AL,'Order Level'!$I:$I,"REJECTED")+SUMIFS('Order Level'!$AL:$AL,'Order Level'!$I:$I,"TIMEDOUT"),0)</f>
        <v>0</v>
      </c>
      <c r="F31" s="57">
        <f t="shared" si="8"/>
        <v>0</v>
      </c>
      <c r="G31" s="46"/>
      <c r="H31" s="39"/>
      <c r="I31" s="39"/>
      <c r="J31" s="39"/>
      <c r="K31" s="39"/>
      <c r="L31" s="39"/>
      <c r="M31" s="39"/>
      <c r="N31" s="39"/>
      <c r="O31" s="39"/>
      <c r="P31" s="39"/>
      <c r="Q31" s="39"/>
      <c r="R31" s="3"/>
      <c r="S31" s="3"/>
      <c r="T31" s="3"/>
      <c r="U31" s="3"/>
      <c r="V31" s="3"/>
      <c r="W31" s="3"/>
      <c r="X31" s="3"/>
    </row>
    <row r="32" spans="1:24" ht="15.75" customHeight="1" outlineLevel="1">
      <c r="A32" s="36"/>
      <c r="B32" s="81"/>
      <c r="C32" s="82" t="str">
        <f>'Order Level'!AM1</f>
        <v>Delivery Charges Recovery</v>
      </c>
      <c r="D32" s="57">
        <f>IFERROR(SUMIFS('Order Level'!$AM:$AM,'Order Level'!$I:$I,"DELIVERED"),0)</f>
        <v>0</v>
      </c>
      <c r="E32" s="57">
        <f>IFERROR(SUMIFS('Order Level'!$AM:$AM,'Order Level'!$I:$I,"CANCELLED")+SUMIFS('Order Level'!$AM:$AM,'Order Level'!$I:$I,"REJECTED")+SUMIFS('Order Level'!$AM:$AM,'Order Level'!$I:$I,"TIMEDOUT"),0)</f>
        <v>0</v>
      </c>
      <c r="F32" s="57">
        <f t="shared" si="8"/>
        <v>0</v>
      </c>
      <c r="G32" s="46"/>
      <c r="H32" s="39"/>
      <c r="I32" s="39"/>
      <c r="J32" s="39"/>
      <c r="K32" s="39"/>
      <c r="L32" s="39"/>
      <c r="M32" s="39"/>
      <c r="N32" s="39"/>
      <c r="O32" s="39"/>
      <c r="P32" s="39"/>
      <c r="Q32" s="39"/>
      <c r="R32" s="3"/>
      <c r="S32" s="3"/>
      <c r="T32" s="3"/>
      <c r="U32" s="3"/>
      <c r="V32" s="3"/>
      <c r="W32" s="3"/>
      <c r="X32" s="3"/>
    </row>
    <row r="33" spans="1:24" ht="15.75" customHeight="1" outlineLevel="1">
      <c r="A33" s="36"/>
      <c r="B33" s="81"/>
      <c r="C33" s="82" t="str">
        <f>'Order Level'!AO1</f>
        <v>Credit note/(Debit Note) adjustment</v>
      </c>
      <c r="D33" s="57">
        <f>IFERROR(SUMIFS('Order Level'!$AO:$AO,'Order Level'!$I:$I,"DELIVERED"),0)</f>
        <v>0</v>
      </c>
      <c r="E33" s="57">
        <f>IFERROR(SUMIFS('Order Level'!$AO:$AO,'Order Level'!$I:$I,"CANCELLED")+SUMIFS('Order Level'!$AO:$AO,'Order Level'!$I:$I,"REJECTED")+SUMIFS('Order Level'!$AO:$AO,'Order Level'!$I:$I,"TIMEDOUT"),0)</f>
        <v>0</v>
      </c>
      <c r="F33" s="57">
        <f t="shared" si="8"/>
        <v>0</v>
      </c>
      <c r="G33" s="46"/>
      <c r="H33" s="39"/>
      <c r="I33" s="39"/>
      <c r="J33" s="39"/>
      <c r="K33" s="39"/>
      <c r="L33" s="39"/>
      <c r="M33" s="39"/>
      <c r="N33" s="39"/>
      <c r="O33" s="39"/>
      <c r="P33" s="39"/>
      <c r="Q33" s="39"/>
      <c r="R33" s="3"/>
      <c r="S33" s="3"/>
      <c r="T33" s="3"/>
      <c r="U33" s="3"/>
      <c r="V33" s="3"/>
      <c r="W33" s="3"/>
      <c r="X33" s="3"/>
    </row>
    <row r="34" spans="1:24" ht="15.75" customHeight="1" outlineLevel="1">
      <c r="A34" s="36"/>
      <c r="B34" s="81"/>
      <c r="C34" s="82" t="str">
        <f>'Order Level'!AP1</f>
        <v>Promo recovery adjustment</v>
      </c>
      <c r="D34" s="57">
        <f>IFERROR(SUMIFS('Order Level'!$AP:$AP,'Order Level'!$I:$I,"DELIVERED"),0)</f>
        <v>0</v>
      </c>
      <c r="E34" s="57">
        <f>IFERROR(SUMIFS('Order Level'!$AP:$AP,'Order Level'!$I:$I,"CANCELLED")+SUMIFS('Order Level'!$AP:$AP,'Order Level'!$I:$I,"REJECTED")+SUMIFS('Order Level'!$AP:$AP,'Order Level'!$I:$I,"TIMEDOUT"),0)</f>
        <v>0</v>
      </c>
      <c r="F34" s="57">
        <f t="shared" si="8"/>
        <v>0</v>
      </c>
      <c r="G34" s="46"/>
      <c r="H34" s="39"/>
      <c r="I34" s="39"/>
      <c r="J34" s="39"/>
      <c r="K34" s="39"/>
      <c r="L34" s="39"/>
      <c r="M34" s="39"/>
      <c r="N34" s="39"/>
      <c r="O34" s="39"/>
      <c r="P34" s="39"/>
      <c r="Q34" s="39"/>
      <c r="R34" s="3"/>
      <c r="S34" s="3"/>
      <c r="T34" s="3"/>
      <c r="U34" s="3"/>
      <c r="V34" s="3"/>
      <c r="W34" s="3"/>
      <c r="X34" s="3"/>
    </row>
    <row r="35" spans="1:24" ht="15.75" customHeight="1" outlineLevel="1">
      <c r="A35" s="36"/>
      <c r="B35" s="81"/>
      <c r="C35" s="82" t="str">
        <f>'Order Level'!AQ1</f>
        <v>Extra Inventory Ads and Misc. (order level deduction)</v>
      </c>
      <c r="D35" s="57">
        <f>IFERROR(SUMIFS('Order Level'!$AQ:$AQ,'Order Level'!$I:$I,"DELIVERED"),0)</f>
        <v>0</v>
      </c>
      <c r="E35" s="57">
        <f>IFERROR(SUMIFS('Order Level'!$AQ:$AQ,'Order Level'!$I:$I,"CANCELLED")+SUMIFS('Order Level'!$AQ:$AQ,'Order Level'!$I:$I,"REJECTED")+SUMIFS('Order Level'!$AQ:$AQ,'Order Level'!$I:$I,"TIMEDOUT"),0)</f>
        <v>0</v>
      </c>
      <c r="F35" s="57">
        <f t="shared" si="8"/>
        <v>0</v>
      </c>
      <c r="G35" s="46"/>
      <c r="H35" s="39"/>
      <c r="I35" s="39"/>
      <c r="J35" s="39"/>
      <c r="K35" s="39"/>
      <c r="L35" s="39"/>
      <c r="M35" s="39"/>
      <c r="N35" s="39"/>
      <c r="O35" s="39"/>
      <c r="P35" s="39"/>
      <c r="Q35" s="39"/>
      <c r="R35" s="3"/>
      <c r="S35" s="3"/>
      <c r="T35" s="3"/>
      <c r="U35" s="3"/>
      <c r="V35" s="3"/>
      <c r="W35" s="3"/>
      <c r="X35" s="3"/>
    </row>
    <row r="36" spans="1:24" ht="15.75" customHeight="1">
      <c r="A36" s="47"/>
      <c r="B36" s="67"/>
      <c r="C36" s="83" t="s">
        <v>67</v>
      </c>
      <c r="D36" s="57">
        <f>IFERROR(SUMIFS('Order Level'!$AR:$AR,'Order Level'!$I:$I,"DELIVERED"),0)</f>
        <v>0</v>
      </c>
      <c r="E36" s="57">
        <f>IFERROR(SUMIFS('Order Level'!$AR:$AR,'Order Level'!$I:$I,"CANCELLED")+SUMIFS('Order Level'!$AR:$AR,'Order Level'!$I:$I,"REJECTED")+SUMIFS('Order Level'!$AR:$AR,'Order Level'!$I:$I,"TIMEDOUT"),0)</f>
        <v>0</v>
      </c>
      <c r="F36" s="57">
        <f t="shared" si="8"/>
        <v>0</v>
      </c>
      <c r="G36" s="46"/>
      <c r="H36" s="39"/>
      <c r="I36" s="39"/>
      <c r="J36" s="39"/>
      <c r="K36" s="39"/>
      <c r="L36" s="39"/>
      <c r="M36" s="39"/>
      <c r="N36" s="39"/>
      <c r="O36" s="39"/>
      <c r="P36" s="39"/>
      <c r="Q36" s="39"/>
      <c r="R36" s="3"/>
      <c r="S36" s="3"/>
      <c r="T36" s="3"/>
      <c r="U36" s="3"/>
      <c r="V36" s="3"/>
      <c r="W36" s="3"/>
      <c r="X36" s="3"/>
    </row>
    <row r="37" spans="1:24" ht="15.75" customHeight="1">
      <c r="A37" s="47"/>
      <c r="B37" s="67"/>
      <c r="C37" s="83" t="s">
        <v>68</v>
      </c>
      <c r="D37" s="57">
        <f>IFERROR(SUMIFS('Order Level'!$AS:$AS,'Order Level'!$I:$I,"DELIVERED"),0)</f>
        <v>0</v>
      </c>
      <c r="E37" s="57">
        <f>IFERROR(SUMIFS('Order Level'!$AS:$AS,'Order Level'!$I:$I,"CANCELLED")+SUMIFS('Order Level'!$AS:$AS,'Order Level'!$I:$I,"REJECTED")+SUMIFS('Order Level'!$AS:$AS,'Order Level'!$I:$I,"TIMEDOUT"),0)</f>
        <v>0</v>
      </c>
      <c r="F37" s="57">
        <f t="shared" si="8"/>
        <v>0</v>
      </c>
      <c r="G37" s="46"/>
      <c r="H37" s="39"/>
      <c r="I37" s="39"/>
      <c r="J37" s="39"/>
      <c r="K37" s="39"/>
      <c r="L37" s="39"/>
      <c r="M37" s="39"/>
      <c r="N37" s="39"/>
      <c r="O37" s="39"/>
      <c r="P37" s="39"/>
      <c r="Q37" s="39"/>
      <c r="R37" s="3"/>
      <c r="S37" s="3"/>
      <c r="T37" s="3"/>
      <c r="U37" s="3"/>
      <c r="V37" s="3"/>
      <c r="W37" s="3"/>
      <c r="X37" s="3"/>
    </row>
    <row r="38" spans="1:24" ht="15.75" customHeight="1">
      <c r="A38" s="47"/>
      <c r="B38" s="67" t="s">
        <v>69</v>
      </c>
      <c r="C38" s="58" t="str">
        <f>'Order Level'!AN1</f>
        <v>Amount received in cash (on self delivery orders)</v>
      </c>
      <c r="D38" s="57">
        <f>IFERROR(SUMIFS('Order Level'!$AN:$AN,'Order Level'!$I:$I,"DELIVERED"),0)</f>
        <v>0</v>
      </c>
      <c r="E38" s="57">
        <f>IFERROR(SUMIFS('Order Level'!$AN:$AN,'Order Level'!$I:$I,"CANCELLED")+SUMIFS('Order Level'!$AN:$AN,'Order Level'!$I:$I,"REJECTED")+SUMIFS('Order Level'!$AN:$AN,'Order Level'!$I:$I,"TIMEDOUT"),0)</f>
        <v>0</v>
      </c>
      <c r="F38" s="57">
        <f t="shared" si="8"/>
        <v>0</v>
      </c>
      <c r="G38" s="46"/>
      <c r="H38" s="39"/>
      <c r="I38" s="39"/>
      <c r="J38" s="39"/>
      <c r="K38" s="39"/>
      <c r="L38" s="39"/>
      <c r="M38" s="39"/>
      <c r="N38" s="39"/>
      <c r="O38" s="39"/>
      <c r="P38" s="39"/>
      <c r="Q38" s="39"/>
      <c r="R38" s="3"/>
      <c r="S38" s="3"/>
      <c r="T38" s="3"/>
      <c r="U38" s="3"/>
      <c r="V38" s="3"/>
      <c r="W38" s="3"/>
      <c r="X38" s="3"/>
    </row>
    <row r="39" spans="1:24" ht="32.25" customHeight="1">
      <c r="A39" s="47"/>
      <c r="B39" s="67" t="s">
        <v>70</v>
      </c>
      <c r="C39" s="84" t="s">
        <v>71</v>
      </c>
      <c r="D39" s="57">
        <f>IFERROR(SUMIFS('Addition Deductions Details'!G:G,'Addition Deductions Details'!B:B,"Total adjustments from previous weeks"),0)</f>
        <v>0</v>
      </c>
      <c r="E39" s="57" t="s">
        <v>72</v>
      </c>
      <c r="F39" s="57">
        <f t="shared" si="8"/>
        <v>0</v>
      </c>
      <c r="G39" s="46"/>
      <c r="H39" s="39"/>
      <c r="I39" s="39"/>
      <c r="J39" s="39"/>
      <c r="K39" s="39"/>
      <c r="L39" s="39"/>
      <c r="M39" s="39"/>
      <c r="N39" s="39"/>
      <c r="O39" s="39"/>
      <c r="P39" s="39"/>
      <c r="Q39" s="39"/>
      <c r="R39" s="3"/>
      <c r="S39" s="3"/>
      <c r="T39" s="3"/>
      <c r="U39" s="3"/>
      <c r="V39" s="3"/>
      <c r="W39" s="3"/>
      <c r="X39" s="3"/>
    </row>
    <row r="40" spans="1:24" ht="16.5" customHeight="1">
      <c r="A40" s="36"/>
      <c r="B40" s="43"/>
      <c r="C40" s="43"/>
      <c r="D40" s="68"/>
      <c r="E40" s="68"/>
      <c r="F40" s="68"/>
      <c r="G40" s="46"/>
      <c r="H40" s="39"/>
      <c r="I40" s="39"/>
      <c r="J40" s="39"/>
      <c r="K40" s="39"/>
      <c r="L40" s="39"/>
      <c r="M40" s="39"/>
      <c r="N40" s="39"/>
      <c r="O40" s="39"/>
      <c r="P40" s="39"/>
      <c r="Q40" s="39"/>
      <c r="R40" s="3"/>
      <c r="S40" s="3"/>
      <c r="T40" s="3"/>
      <c r="U40" s="3"/>
      <c r="V40" s="3"/>
      <c r="W40" s="3"/>
      <c r="X40" s="3"/>
    </row>
    <row r="41" spans="1:24" ht="30.75" customHeight="1">
      <c r="A41" s="47"/>
      <c r="B41" s="51" t="s">
        <v>73</v>
      </c>
      <c r="C41" s="85" t="s">
        <v>74</v>
      </c>
      <c r="D41" s="78">
        <f>SUM(D42:D44)</f>
        <v>0</v>
      </c>
      <c r="E41" s="86" t="s">
        <v>72</v>
      </c>
      <c r="F41" s="79">
        <f>SUM(F42:F44)</f>
        <v>0</v>
      </c>
      <c r="G41" s="46"/>
      <c r="H41" s="39"/>
      <c r="I41" s="39"/>
      <c r="J41" s="39"/>
      <c r="K41" s="39"/>
      <c r="L41" s="39"/>
      <c r="M41" s="39"/>
      <c r="N41" s="39"/>
      <c r="O41" s="39"/>
      <c r="P41" s="39"/>
      <c r="Q41" s="39"/>
      <c r="R41" s="3"/>
      <c r="S41" s="3"/>
      <c r="T41" s="3"/>
      <c r="U41" s="3"/>
      <c r="V41" s="3"/>
      <c r="W41" s="3"/>
      <c r="X41" s="3"/>
    </row>
    <row r="42" spans="1:24" ht="15.75" customHeight="1">
      <c r="A42" s="47"/>
      <c r="B42" s="67" t="s">
        <v>75</v>
      </c>
      <c r="C42" s="87" t="s">
        <v>76</v>
      </c>
      <c r="D42" s="88">
        <f t="array" ref="D42">IFERROR(
  SUMPRODUCT(
    (--(INDEX('Addition Deductions Details'!B:B, MATCH("Deduction Type", 'Addition Deductions Details'!B:B, 0)):
        INDEX('Addition Deductions Details'!B:B, MATCH("Total Ads &amp; miscellaneous services", 'Addition Deductions Details'!B:B, 0))
        ="ADS")),
    INDEX('Addition Deductions Details'!G:G, MATCH("Deduction Type", 'Addition Deductions Details'!B:B, 0)):
    INDEX('Addition Deductions Details'!G:G, MATCH("Total Ads &amp; miscellaneous services", 'Addition Deductions Details'!B:B, 0))
  )
  -
  SUMPRODUCT(
    (--(INDEX('Addition Deductions Details'!B:B, MATCH("Addition Type", 'Addition Deductions Details'!B:B, 0)):
        INDEX('Addition Deductions Details'!B:B, MATCH("Total Additions", 'Addition Deductions Details'!B:B, 0))
        ="ADS")),
    INDEX('Addition Deductions Details'!G:G, MATCH("Addition Type", 'Addition Deductions Details'!B:B, 0)):
    INDEX('Addition Deductions Details'!G:G, MATCH("Total Additions", 'Addition Deductions Details'!B:B, 0))
  ),
0)</f>
        <v>0</v>
      </c>
      <c r="E42" s="57" t="s">
        <v>72</v>
      </c>
      <c r="F42" s="57">
        <f t="shared" ref="F42:F44" si="9">SUM(D42:E42)</f>
        <v>0</v>
      </c>
      <c r="G42" s="46"/>
      <c r="H42" s="39"/>
      <c r="I42" s="39"/>
      <c r="J42" s="39"/>
      <c r="K42" s="39"/>
      <c r="L42" s="39"/>
      <c r="M42" s="39"/>
      <c r="N42" s="39"/>
      <c r="O42" s="39"/>
      <c r="P42" s="39"/>
      <c r="Q42" s="39"/>
      <c r="R42" s="3"/>
      <c r="S42" s="3"/>
      <c r="T42" s="3"/>
      <c r="U42" s="3"/>
      <c r="V42" s="3"/>
      <c r="W42" s="3"/>
      <c r="X42" s="3"/>
    </row>
    <row r="43" spans="1:24" ht="15.75" customHeight="1">
      <c r="A43" s="47"/>
      <c r="B43" s="67" t="s">
        <v>77</v>
      </c>
      <c r="C43" s="87" t="s">
        <v>78</v>
      </c>
      <c r="D43" s="88">
        <f t="array" ref="D43">IFERROR(
  SUMPRODUCT(
    (--(INDEX('Addition Deductions Details'!B:B, MATCH("Deduction Type", 'Addition Deductions Details'!B:B, 0)):
        INDEX('Addition Deductions Details'!B:B, MATCH("Total Ads &amp; miscellaneous services", 'Addition Deductions Details'!B:B, 0))
        ="Dining ADS")),
    INDEX('Addition Deductions Details'!G:G, MATCH("Deduction Type", 'Addition Deductions Details'!B:B, 0)):
    INDEX('Addition Deductions Details'!G:G, MATCH("Total Ads &amp; miscellaneous services", 'Addition Deductions Details'!B:B, 0))
  )
  -
  SUMPRODUCT(
    (--(INDEX('Addition Deductions Details'!B:B, MATCH("Addition Type", 'Addition Deductions Details'!B:B, 0)):
        INDEX('Addition Deductions Details'!B:B, MATCH("Total Additions", 'Addition Deductions Details'!B:B, 0))
        ="Dining ADS")),
    INDEX('Addition Deductions Details'!G:G, MATCH("Addition Type", 'Addition Deductions Details'!B:B, 0)):
    INDEX('Addition Deductions Details'!G:G, MATCH("Total Additions", 'Addition Deductions Details'!B:B, 0))
  ),
0)</f>
        <v>0</v>
      </c>
      <c r="E43" s="57" t="s">
        <v>72</v>
      </c>
      <c r="F43" s="57">
        <f t="shared" si="9"/>
        <v>0</v>
      </c>
      <c r="G43" s="46"/>
      <c r="H43" s="39"/>
      <c r="I43" s="39"/>
      <c r="J43" s="39"/>
      <c r="K43" s="39"/>
      <c r="L43" s="39"/>
      <c r="M43" s="39"/>
      <c r="N43" s="39"/>
      <c r="O43" s="39"/>
      <c r="P43" s="39"/>
      <c r="Q43" s="39"/>
      <c r="R43" s="3"/>
      <c r="S43" s="3"/>
      <c r="T43" s="3"/>
      <c r="U43" s="3"/>
      <c r="V43" s="3"/>
      <c r="W43" s="3"/>
      <c r="X43" s="3"/>
    </row>
    <row r="44" spans="1:24" ht="15.75" customHeight="1">
      <c r="A44" s="47"/>
      <c r="B44" s="67" t="s">
        <v>79</v>
      </c>
      <c r="C44" s="87" t="s">
        <v>80</v>
      </c>
      <c r="D44" s="88">
        <f t="array" ref="D44">IFERROR(
  SUMPRODUCT(
    (--(INDEX('Addition Deductions Details'!B:B, MATCH("Deduction Type", 'Addition Deductions Details'!B:B, 0)+1):
        INDEX('Addition Deductions Details'!B:B, MATCH("Total Ads &amp; miscellaneous services", 'Addition Deductions Details'!B:B, 0)-1)
        &lt;&gt; "ADS")),
    (--(INDEX('Addition Deductions Details'!B:B, MATCH("Deduction Type", 'Addition Deductions Details'!B:B, 0)+1):
        INDEX('Addition Deductions Details'!B:B, MATCH("Total Ads &amp; miscellaneous services", 'Addition Deductions Details'!B:B, 0)-1)
        &lt;&gt; "Dining ADS")),
    INDEX('Addition Deductions Details'!G:G, MATCH("Deduction Type", 'Addition Deductions Details'!B:B, 0)+1):
    INDEX('Addition Deductions Details'!G:G, MATCH("Total Ads &amp; miscellaneous services", 'Addition Deductions Details'!B:B, 0)-1)
  )
  -
  SUMPRODUCT(
    (--(INDEX('Addition Deductions Details'!B:B, MATCH("Addition Type", 'Addition Deductions Details'!B:B, 0)+1):
        INDEX('Addition Deductions Details'!B:B, MATCH("Total Additions", 'Addition Deductions Details'!B:B, 0)-1)
        &lt;&gt; "ADS")),
    (--(INDEX('Addition Deductions Details'!B:B, MATCH("Addition Type", 'Addition Deductions Details'!B:B, 0)+1):
        INDEX('Addition Deductions Details'!B:B, MATCH("Total Additions", 'Addition Deductions Details'!B:B, 0)-1)
        &lt;&gt; "Dining ADS")),
    INDEX('Addition Deductions Details'!G:G, MATCH("Addition Type", 'Addition Deductions Details'!B:B, 0)+1):
    INDEX('Addition Deductions Details'!G:G, MATCH("Total Additions", 'Addition Deductions Details'!B:B, 0)-1)
  ),
0)</f>
        <v>0</v>
      </c>
      <c r="E44" s="57" t="s">
        <v>72</v>
      </c>
      <c r="F44" s="57">
        <f t="shared" si="9"/>
        <v>0</v>
      </c>
      <c r="G44" s="46"/>
      <c r="H44" s="39"/>
      <c r="I44" s="39"/>
      <c r="J44" s="39"/>
      <c r="K44" s="39"/>
      <c r="L44" s="39"/>
      <c r="M44" s="39"/>
      <c r="N44" s="39"/>
      <c r="O44" s="39"/>
      <c r="P44" s="39"/>
      <c r="Q44" s="39"/>
      <c r="R44" s="3"/>
      <c r="S44" s="3"/>
      <c r="T44" s="3"/>
      <c r="U44" s="3"/>
      <c r="V44" s="3"/>
      <c r="W44" s="3"/>
      <c r="X44" s="3"/>
    </row>
    <row r="45" spans="1:24" ht="15.75" customHeight="1">
      <c r="A45" s="47"/>
      <c r="B45" s="51"/>
      <c r="C45" s="52"/>
      <c r="D45" s="78"/>
      <c r="E45" s="86"/>
      <c r="F45" s="79"/>
      <c r="G45" s="46"/>
      <c r="H45" s="39"/>
      <c r="I45" s="39"/>
      <c r="J45" s="39"/>
      <c r="K45" s="39"/>
      <c r="L45" s="39"/>
      <c r="M45" s="39"/>
      <c r="N45" s="39"/>
      <c r="O45" s="39"/>
      <c r="P45" s="39"/>
      <c r="Q45" s="39"/>
      <c r="R45" s="3"/>
      <c r="S45" s="3"/>
      <c r="T45" s="3"/>
      <c r="U45" s="3"/>
      <c r="V45" s="3"/>
      <c r="W45" s="3"/>
      <c r="X45" s="3"/>
    </row>
    <row r="46" spans="1:24" ht="22.5" customHeight="1">
      <c r="A46" s="47"/>
      <c r="B46" s="51" t="s">
        <v>81</v>
      </c>
      <c r="C46" s="52" t="s">
        <v>82</v>
      </c>
      <c r="D46" s="78">
        <f>IFERROR(SUMIFS('Addition Deductions Details'!G:G,'Addition Deductions Details'!B:B,"Total Hyperpure"),0)</f>
        <v>0</v>
      </c>
      <c r="E46" s="86" t="s">
        <v>72</v>
      </c>
      <c r="F46" s="79">
        <f>SUM(D46:E46)</f>
        <v>0</v>
      </c>
      <c r="G46" s="46"/>
      <c r="H46" s="39"/>
      <c r="I46" s="39"/>
      <c r="J46" s="39"/>
      <c r="K46" s="39"/>
      <c r="L46" s="39"/>
      <c r="M46" s="39"/>
      <c r="N46" s="39"/>
      <c r="O46" s="39"/>
      <c r="P46" s="39"/>
      <c r="Q46" s="39"/>
      <c r="R46" s="3"/>
      <c r="S46" s="3"/>
      <c r="T46" s="3"/>
      <c r="U46" s="3"/>
      <c r="V46" s="3"/>
      <c r="W46" s="3"/>
      <c r="X46" s="3"/>
    </row>
    <row r="47" spans="1:24" ht="15.75" customHeight="1">
      <c r="A47" s="47"/>
      <c r="B47" s="43"/>
      <c r="C47" s="43"/>
      <c r="D47" s="68"/>
      <c r="E47" s="49"/>
      <c r="F47" s="68"/>
      <c r="G47" s="46"/>
      <c r="H47" s="39"/>
      <c r="I47" s="39"/>
      <c r="J47" s="39"/>
      <c r="K47" s="39"/>
      <c r="L47" s="39"/>
      <c r="M47" s="39"/>
      <c r="N47" s="39"/>
      <c r="O47" s="39"/>
      <c r="P47" s="39"/>
      <c r="Q47" s="39"/>
      <c r="R47" s="3"/>
      <c r="S47" s="3"/>
      <c r="T47" s="3"/>
      <c r="U47" s="3"/>
      <c r="V47" s="3"/>
      <c r="W47" s="3"/>
      <c r="X47" s="3"/>
    </row>
    <row r="48" spans="1:24" ht="15.75" customHeight="1">
      <c r="A48" s="47"/>
      <c r="B48" s="51" t="s">
        <v>83</v>
      </c>
      <c r="C48" s="89" t="s">
        <v>84</v>
      </c>
      <c r="D48" s="90">
        <f>IFERROR(SUMIFS('Addition Deductions Details'!G:G,'Addition Deductions Details'!B:B,"Total deductions"),0)</f>
        <v>0</v>
      </c>
      <c r="E48" s="91" t="s">
        <v>72</v>
      </c>
      <c r="F48" s="79">
        <f>SUM(D48:E48)</f>
        <v>0</v>
      </c>
      <c r="G48" s="46"/>
      <c r="H48" s="39"/>
      <c r="I48" s="39"/>
      <c r="J48" s="39"/>
      <c r="K48" s="39"/>
      <c r="L48" s="39"/>
      <c r="M48" s="39"/>
      <c r="N48" s="39"/>
      <c r="O48" s="39"/>
      <c r="P48" s="39"/>
      <c r="Q48" s="39"/>
      <c r="R48" s="3"/>
      <c r="S48" s="3"/>
      <c r="T48" s="3"/>
      <c r="U48" s="3"/>
      <c r="V48" s="3"/>
      <c r="W48" s="3"/>
      <c r="X48" s="3"/>
    </row>
    <row r="49" spans="1:24" ht="15.75" customHeight="1">
      <c r="A49" s="47"/>
      <c r="B49" s="43"/>
      <c r="C49" s="43"/>
      <c r="D49" s="68"/>
      <c r="E49" s="49"/>
      <c r="F49" s="68"/>
      <c r="G49" s="46"/>
      <c r="H49" s="39"/>
      <c r="I49" s="39"/>
      <c r="J49" s="39"/>
      <c r="K49" s="39"/>
      <c r="L49" s="39"/>
      <c r="M49" s="39"/>
      <c r="N49" s="39"/>
      <c r="O49" s="39"/>
      <c r="P49" s="39"/>
      <c r="Q49" s="39"/>
      <c r="R49" s="3"/>
      <c r="S49" s="3"/>
      <c r="T49" s="3"/>
      <c r="U49" s="3"/>
      <c r="V49" s="3"/>
      <c r="W49" s="3"/>
      <c r="X49" s="3"/>
    </row>
    <row r="50" spans="1:24" ht="32.25" customHeight="1">
      <c r="A50" s="36"/>
      <c r="B50" s="51" t="s">
        <v>85</v>
      </c>
      <c r="C50" s="52" t="s">
        <v>86</v>
      </c>
      <c r="D50" s="78">
        <f t="shared" ref="D50:F50" si="10">SUM(D51:D54)</f>
        <v>0</v>
      </c>
      <c r="E50" s="78">
        <f t="shared" si="10"/>
        <v>0</v>
      </c>
      <c r="F50" s="92">
        <f t="shared" si="10"/>
        <v>0</v>
      </c>
      <c r="G50" s="46"/>
      <c r="H50" s="39"/>
      <c r="I50" s="39"/>
      <c r="J50" s="39"/>
      <c r="K50" s="39"/>
      <c r="L50" s="39"/>
      <c r="M50" s="39"/>
      <c r="N50" s="39"/>
      <c r="O50" s="39"/>
      <c r="P50" s="39"/>
      <c r="Q50" s="39"/>
      <c r="R50" s="3"/>
      <c r="S50" s="3"/>
      <c r="T50" s="3"/>
      <c r="U50" s="3"/>
      <c r="V50" s="3"/>
      <c r="W50" s="3"/>
      <c r="X50" s="3"/>
    </row>
    <row r="51" spans="1:24" ht="15.75" customHeight="1">
      <c r="A51" s="47"/>
      <c r="B51" s="67" t="s">
        <v>87</v>
      </c>
      <c r="C51" s="93" t="s">
        <v>88</v>
      </c>
      <c r="D51" s="57" t="s">
        <v>72</v>
      </c>
      <c r="E51" s="57">
        <f>IFERROR(SUMIFS('Order Level'!$AV:$AV,'Order Level'!$I:$I,"CANCELLED")+SUMIFS('Order Level'!$AV:$AV,'Order Level'!$I:$I,"REJECTED")+SUMIFS('Order Level'!$AV:$AV,'Order Level'!$I:$I,"TIMEDOUT"),0)</f>
        <v>0</v>
      </c>
      <c r="F51" s="57">
        <f t="shared" ref="F51:F54" si="11">SUM(D51:E51)</f>
        <v>0</v>
      </c>
      <c r="G51" s="46"/>
      <c r="H51" s="39"/>
      <c r="I51" s="39"/>
      <c r="J51" s="39"/>
      <c r="K51" s="39"/>
      <c r="L51" s="39"/>
      <c r="M51" s="39"/>
      <c r="N51" s="39"/>
      <c r="O51" s="39"/>
      <c r="P51" s="39"/>
      <c r="Q51" s="39"/>
      <c r="R51" s="3"/>
      <c r="S51" s="3"/>
      <c r="T51" s="3"/>
      <c r="U51" s="3"/>
      <c r="V51" s="3"/>
      <c r="W51" s="3"/>
      <c r="X51" s="3"/>
    </row>
    <row r="52" spans="1:24" ht="15.75" customHeight="1">
      <c r="A52" s="47"/>
      <c r="B52" s="67" t="s">
        <v>89</v>
      </c>
      <c r="C52" s="67" t="s">
        <v>90</v>
      </c>
      <c r="D52" s="57">
        <f>IFERROR(SUMIFS('Order Level'!$AV:$AV,'Order Level'!$I:$I,"DELIVERED"),0)</f>
        <v>0</v>
      </c>
      <c r="E52" s="57" t="s">
        <v>72</v>
      </c>
      <c r="F52" s="57">
        <f t="shared" si="11"/>
        <v>0</v>
      </c>
      <c r="G52" s="46"/>
      <c r="H52" s="39"/>
      <c r="I52" s="39"/>
      <c r="J52" s="39"/>
      <c r="K52" s="39"/>
      <c r="L52" s="39"/>
      <c r="M52" s="39"/>
      <c r="N52" s="39"/>
      <c r="O52" s="39"/>
      <c r="P52" s="39"/>
      <c r="Q52" s="39"/>
      <c r="R52" s="3"/>
      <c r="S52" s="3"/>
      <c r="T52" s="3"/>
      <c r="U52" s="3"/>
      <c r="V52" s="3"/>
      <c r="W52" s="3"/>
      <c r="X52" s="3"/>
    </row>
    <row r="53" spans="1:24" ht="35.25" customHeight="1">
      <c r="A53" s="47"/>
      <c r="B53" s="67" t="s">
        <v>91</v>
      </c>
      <c r="C53" s="67" t="s">
        <v>92</v>
      </c>
      <c r="D53" s="57">
        <f>IFERROR(SUMIFS('Addition Deductions Details'!G:G,'Addition Deductions Details'!B:B,"TDS 194 H and other Res id level Additions"),0)</f>
        <v>0</v>
      </c>
      <c r="E53" s="57" t="s">
        <v>72</v>
      </c>
      <c r="F53" s="57">
        <f t="shared" si="11"/>
        <v>0</v>
      </c>
      <c r="G53" s="46"/>
      <c r="H53" s="39"/>
      <c r="I53" s="39"/>
      <c r="J53" s="39"/>
      <c r="K53" s="39"/>
      <c r="L53" s="39"/>
      <c r="M53" s="39"/>
      <c r="N53" s="39"/>
      <c r="O53" s="39"/>
      <c r="P53" s="39"/>
      <c r="Q53" s="39"/>
      <c r="R53" s="3"/>
      <c r="S53" s="3"/>
      <c r="T53" s="3"/>
      <c r="U53" s="3"/>
      <c r="V53" s="3"/>
      <c r="W53" s="3"/>
      <c r="X53" s="3"/>
    </row>
    <row r="54" spans="1:24" ht="15.75" customHeight="1">
      <c r="A54" s="47"/>
      <c r="B54" s="67" t="s">
        <v>93</v>
      </c>
      <c r="C54" s="67" t="s">
        <v>94</v>
      </c>
      <c r="D54" s="57">
        <f>IFERROR(SUMIFS('Addition Deductions Details'!G:G,'Addition Deductions Details'!B:B,"Restaurant-level service fees rebate"),0)</f>
        <v>0</v>
      </c>
      <c r="E54" s="57" t="s">
        <v>72</v>
      </c>
      <c r="F54" s="57">
        <f t="shared" si="11"/>
        <v>0</v>
      </c>
      <c r="G54" s="46"/>
      <c r="H54" s="39"/>
      <c r="I54" s="39"/>
      <c r="J54" s="39"/>
      <c r="K54" s="39"/>
      <c r="L54" s="39"/>
      <c r="M54" s="39"/>
      <c r="N54" s="39"/>
      <c r="O54" s="39"/>
      <c r="P54" s="39"/>
      <c r="Q54" s="39"/>
      <c r="R54" s="3"/>
      <c r="S54" s="3"/>
      <c r="T54" s="3"/>
      <c r="U54" s="3"/>
      <c r="V54" s="3"/>
      <c r="W54" s="3"/>
      <c r="X54" s="3"/>
    </row>
    <row r="55" spans="1:24" ht="15.75" customHeight="1">
      <c r="A55" s="47"/>
      <c r="B55" s="94"/>
      <c r="C55" s="43"/>
      <c r="D55" s="68"/>
      <c r="E55" s="68"/>
      <c r="F55" s="68"/>
      <c r="G55" s="46"/>
      <c r="H55" s="39"/>
      <c r="I55" s="39"/>
      <c r="J55" s="39"/>
      <c r="K55" s="39"/>
      <c r="L55" s="39"/>
      <c r="M55" s="39"/>
      <c r="N55" s="39"/>
      <c r="O55" s="39"/>
      <c r="P55" s="39"/>
      <c r="Q55" s="39"/>
      <c r="R55" s="3"/>
      <c r="S55" s="3"/>
      <c r="T55" s="3"/>
      <c r="U55" s="3"/>
      <c r="V55" s="3"/>
      <c r="W55" s="3"/>
      <c r="X55" s="3"/>
    </row>
    <row r="56" spans="1:24" ht="33" customHeight="1">
      <c r="A56" s="36"/>
      <c r="B56" s="95" t="s">
        <v>95</v>
      </c>
      <c r="C56" s="96" t="s">
        <v>96</v>
      </c>
      <c r="D56" s="97">
        <f>D6-D18-D22-D28-D41-D46+D50-D48</f>
        <v>47043.509999999995</v>
      </c>
      <c r="E56" s="97">
        <f>-E18-E22-E28+E50</f>
        <v>0</v>
      </c>
      <c r="F56" s="98">
        <f>D56+E56</f>
        <v>47043.509999999995</v>
      </c>
      <c r="G56" s="46"/>
      <c r="H56" s="39"/>
      <c r="I56" s="39"/>
      <c r="J56" s="39"/>
      <c r="K56" s="39"/>
      <c r="L56" s="39"/>
      <c r="M56" s="39"/>
      <c r="N56" s="39"/>
      <c r="O56" s="39"/>
      <c r="P56" s="39"/>
      <c r="Q56" s="39"/>
      <c r="R56" s="3"/>
      <c r="S56" s="3"/>
      <c r="T56" s="3"/>
      <c r="U56" s="3"/>
      <c r="V56" s="3"/>
      <c r="W56" s="3"/>
      <c r="X56" s="3"/>
    </row>
    <row r="57" spans="1:24" ht="15.75" customHeight="1">
      <c r="A57" s="36"/>
      <c r="B57" s="81"/>
      <c r="C57" s="43"/>
      <c r="D57" s="99"/>
      <c r="E57" s="99"/>
      <c r="F57" s="99"/>
      <c r="G57" s="46"/>
      <c r="H57" s="39"/>
      <c r="I57" s="39"/>
      <c r="J57" s="39"/>
      <c r="K57" s="39"/>
      <c r="L57" s="39"/>
      <c r="M57" s="39"/>
      <c r="N57" s="39"/>
      <c r="O57" s="39"/>
      <c r="P57" s="39"/>
      <c r="Q57" s="39"/>
      <c r="R57" s="3"/>
      <c r="S57" s="3"/>
      <c r="T57" s="3"/>
      <c r="U57" s="3"/>
      <c r="V57" s="3"/>
      <c r="W57" s="3"/>
      <c r="X57" s="3"/>
    </row>
    <row r="58" spans="1:24" ht="24.75" customHeight="1">
      <c r="A58" s="36"/>
      <c r="B58" s="95" t="s">
        <v>97</v>
      </c>
      <c r="C58" s="100"/>
      <c r="D58" s="101"/>
      <c r="E58" s="101"/>
      <c r="F58" s="101"/>
      <c r="G58" s="46"/>
      <c r="H58" s="39"/>
      <c r="I58" s="39"/>
      <c r="J58" s="39"/>
      <c r="K58" s="39"/>
      <c r="L58" s="39"/>
      <c r="M58" s="39"/>
      <c r="N58" s="39"/>
      <c r="O58" s="39"/>
      <c r="P58" s="39"/>
      <c r="Q58" s="39"/>
      <c r="R58" s="3"/>
      <c r="S58" s="3"/>
      <c r="T58" s="3"/>
      <c r="U58" s="3"/>
      <c r="V58" s="3"/>
      <c r="W58" s="3"/>
      <c r="X58" s="3"/>
    </row>
    <row r="59" spans="1:24" ht="15.75" customHeight="1">
      <c r="A59" s="36"/>
      <c r="B59" s="43"/>
      <c r="C59" s="102" t="s">
        <v>98</v>
      </c>
      <c r="D59" s="103">
        <f>IFERROR(SUMIFS('Order Level'!$AW:$AW,'Order Level'!I:I,"DELIVERED",'Order Level'!$AX:$AX,"Settled")+SUMIFS('Order Level'!$AW:$AW,'Order Level'!I:I,"DELIVERED",'Order Level'!$AX:$AX,"Partial")-SUMIFS('Order Level'!$BA:$BA,'Order Level'!I:I,"DELIVERED",'Order Level'!$AX:$AX,"Partial")+SUMIFS('Order Level'!$AW:$AW,'Order Level'!I:I,"DELIVERED",'Order Level'!$AX:$AX,"Pending")-SUMIFS('Order Level'!$BA:$BA,'Order Level'!I:I,"DELIVERED",'Order Level'!$AX:$AX,"Pending")+SUMIFS('Addition Deductions Details'!H:H,'Addition Deductions Details'!B:B,"Total Additions")-SUMIFS('Addition Deductions Details'!H:H,'Addition Deductions Details'!B:B,"Total Ads &amp; miscellaneous services")-SUMIFS('Addition Deductions Details'!H:H,'Addition Deductions Details'!B:B,"Total Hyperpure")-SUMIFS('Addition Deductions Details'!H:H,'Addition Deductions Details'!B:B,"Total deductions"),0)</f>
        <v>41169.480000000003</v>
      </c>
      <c r="E59" s="103">
        <f>IFERROR(SUMIFS('Order Level'!$AW:$AW,'Order Level'!I:I,"CANCELLED",'Order Level'!$AX:$AX,"Settled")+SUMIFS('Order Level'!$AW:$AW,'Order Level'!I:I,"CANCELLED",'Order Level'!$AX:$AX,"Partial")-SUMIFS('Order Level'!$BA:$BA,'Order Level'!I:I,"CANCELLED",'Order Level'!$AX:$AX,"Partial")+SUMIFS('Order Level'!$AW:$AW,'Order Level'!I:I,"CANCELLED",'Order Level'!$AX:$AX,"Pending")-SUMIFS('Order Level'!$BA:$BA,'Order Level'!I:I,"CANCELLED",'Order Level'!$AX:$AX,"Pending")+SUMIFS('Order Level'!$AW:$AW,'Order Level'!I:I,"REJECTED",'Order Level'!$AX:$AX,"Pending")-SUMIFS('Order Level'!$BA:$BA,'Order Level'!I:I,"REJECTED",'Order Level'!$AX:$AX,"Pending")+SUMIFS('Order Level'!$AW:$AW,'Order Level'!I:I,"REJECTED",'Order Level'!$AX:$AX,"Settled")+SUMIFS('Order Level'!$AW:$AW,'Order Level'!I:I,"REJECTED",'Order Level'!$AX:$AX,"Partial")-SUMIFS('Order Level'!$BA:$BA,'Order Level'!I:I,"REJECTED",'Order Level'!$AX:$AX,"Partial")+SUMIFS('Order Level'!$AW:$AW,'Order Level'!I:I,"TIMEDOUT",'Order Level'!$AX:$AX,"Settled")+SUMIFS('Order Level'!$AW:$AW,'Order Level'!I:I,"TIMEDOUT",'Order Level'!$AX:$AX,"Pending")-SUMIFS('Order Level'!$BA:$BA,'Order Level'!I:I,"TIMEDOUT",'Order Level'!$AX:$AX,"Pending")+SUMIFS('Order Level'!$AW:$AW,'Order Level'!I:I,"TIMEDOUT",'Order Level'!$AX:$AX,"Partial")-SUMIFS('Order Level'!$BA:$BA,'Order Level'!I:I,"TIMEDOUT",'Order Level'!$AX:$AX,"Partial"),0)</f>
        <v>0</v>
      </c>
      <c r="F59" s="103">
        <f t="shared" ref="F59:F60" si="12">SUM(D59:E59)</f>
        <v>41169.480000000003</v>
      </c>
      <c r="G59" s="46"/>
      <c r="H59" s="39"/>
      <c r="I59" s="39"/>
      <c r="J59" s="39"/>
      <c r="K59" s="39"/>
      <c r="L59" s="39"/>
      <c r="M59" s="39"/>
      <c r="N59" s="39"/>
      <c r="O59" s="39"/>
      <c r="P59" s="39"/>
      <c r="Q59" s="39"/>
      <c r="R59" s="3"/>
      <c r="S59" s="3"/>
      <c r="T59" s="3"/>
      <c r="U59" s="3"/>
      <c r="V59" s="3"/>
      <c r="W59" s="3"/>
      <c r="X59" s="3"/>
    </row>
    <row r="60" spans="1:24" ht="15.75" customHeight="1">
      <c r="A60" s="36"/>
      <c r="B60" s="43"/>
      <c r="C60" s="102" t="s">
        <v>99</v>
      </c>
      <c r="D60" s="104">
        <f>IFERROR(SUMIFS('Order Level'!$BA:$BA,'Order Level'!I:I,"DELIVERED",'Order Level'!$AX:$AX,"Pending")+SUMIFS('Order Level'!$BA:$BA,'Order Level'!I:I,"DELIVERED",'Order Level'!$AX:$AX,"Partial")+SUMIFS('Addition Deductions Details'!I:I,'Addition Deductions Details'!B:B,"Total Additions")-SUMIFS('Addition Deductions Details'!I:I,'Addition Deductions Details'!B:B,"Total Ads &amp; miscellaneous services")-SUMIFS('Addition Deductions Details'!I:I,'Addition Deductions Details'!B:B,"Total Hyperpure")-SUMIFS('Addition Deductions Details'!I:I,'Addition Deductions Details'!B:B,"Total adjustments from previous weeks")-SUMIFS('Addition Deductions Details'!I:I,'Addition Deductions Details'!B:B,"Total adjustments from previous weeks")-SUMIFS('Addition Deductions Details'!I:I,'Addition Deductions Details'!B:B,"Total deductions"),0)</f>
        <v>5874.0300000000007</v>
      </c>
      <c r="E60" s="104">
        <f>IFERROR(SUMIFS('Order Level'!$BA:$BA,'Order Level'!I:I,"CANCELLED",'Order Level'!$AX:$AX,"Pending")+SUMIFS('Order Level'!$BA:$BA,'Order Level'!I:I,"CANCELLED",'Order Level'!$AX:$AX,"Partial")+SUMIFS('Order Level'!$BA:$BA,'Order Level'!I:I,"REJECTED",'Order Level'!$AX:$AX,"Pending")+SUMIFS('Order Level'!$BA:$BA,'Order Level'!I:I,"REJECTED",'Order Level'!$AX:$AX,"Partial")+SUMIFS('Order Level'!$BA:$BA,'Order Level'!I:I,"TIMEDOUT",'Order Level'!$AX:$AX,"Pending")+SUMIFS('Order Level'!$BA:$BA,'Order Level'!I:I,"TIMEDOUT",'Order Level'!$AX:$AX,"Partial"),0)</f>
        <v>0</v>
      </c>
      <c r="F60" s="104">
        <f t="shared" si="12"/>
        <v>5874.0300000000007</v>
      </c>
      <c r="G60" s="46"/>
      <c r="H60" s="39"/>
      <c r="I60" s="39"/>
      <c r="J60" s="39"/>
      <c r="K60" s="39"/>
      <c r="L60" s="39"/>
      <c r="M60" s="39"/>
      <c r="N60" s="39"/>
      <c r="O60" s="39"/>
      <c r="P60" s="39"/>
      <c r="Q60" s="39"/>
      <c r="R60" s="3"/>
      <c r="S60" s="3"/>
      <c r="T60" s="3"/>
      <c r="U60" s="3"/>
      <c r="V60" s="3"/>
      <c r="W60" s="3"/>
      <c r="X60" s="3"/>
    </row>
    <row r="61" spans="1:24" ht="15.75" customHeight="1">
      <c r="A61" s="47"/>
      <c r="B61" s="105"/>
      <c r="C61" s="36"/>
      <c r="D61" s="106"/>
      <c r="E61" s="106"/>
      <c r="F61" s="106"/>
      <c r="G61" s="46"/>
      <c r="H61" s="39"/>
      <c r="I61" s="39"/>
      <c r="J61" s="39"/>
      <c r="K61" s="39"/>
      <c r="L61" s="39"/>
      <c r="M61" s="39"/>
      <c r="N61" s="39"/>
      <c r="O61" s="39"/>
      <c r="P61" s="39"/>
      <c r="Q61" s="39"/>
      <c r="R61" s="3"/>
      <c r="S61" s="3"/>
      <c r="T61" s="3"/>
      <c r="U61" s="3"/>
      <c r="V61" s="3"/>
      <c r="W61" s="3"/>
      <c r="X61" s="3"/>
    </row>
    <row r="62" spans="1:24" ht="15.75" customHeight="1">
      <c r="A62" s="47"/>
      <c r="B62" s="47"/>
      <c r="C62" s="36"/>
      <c r="D62" s="106"/>
      <c r="E62" s="106"/>
      <c r="F62" s="106"/>
      <c r="G62" s="46"/>
      <c r="H62" s="107"/>
      <c r="I62" s="107"/>
      <c r="J62" s="107"/>
      <c r="K62" s="107"/>
      <c r="L62" s="107"/>
      <c r="M62" s="107"/>
      <c r="N62" s="107"/>
      <c r="O62" s="107"/>
      <c r="P62" s="107"/>
      <c r="Q62" s="107"/>
      <c r="R62" s="8"/>
      <c r="S62" s="8"/>
      <c r="T62" s="8"/>
      <c r="U62" s="8"/>
      <c r="V62" s="8"/>
      <c r="W62" s="8"/>
      <c r="X62" s="8"/>
    </row>
    <row r="63" spans="1:24" ht="15.75" customHeight="1">
      <c r="A63" s="47"/>
      <c r="B63" s="47"/>
      <c r="C63" s="36"/>
      <c r="D63" s="106"/>
      <c r="E63" s="106"/>
      <c r="F63" s="106"/>
      <c r="G63" s="46"/>
      <c r="H63" s="107"/>
      <c r="I63" s="107"/>
      <c r="J63" s="107"/>
      <c r="K63" s="107"/>
      <c r="L63" s="107"/>
      <c r="M63" s="107"/>
      <c r="N63" s="107"/>
      <c r="O63" s="107"/>
      <c r="P63" s="107"/>
      <c r="Q63" s="107"/>
      <c r="R63" s="8"/>
      <c r="S63" s="8"/>
      <c r="T63" s="8"/>
      <c r="U63" s="8"/>
      <c r="V63" s="8"/>
      <c r="W63" s="8"/>
      <c r="X63" s="8"/>
    </row>
    <row r="64" spans="1:24" ht="15.75" customHeight="1">
      <c r="A64" s="47"/>
      <c r="B64" s="47"/>
      <c r="C64" s="36"/>
      <c r="D64" s="106"/>
      <c r="E64" s="106"/>
      <c r="F64" s="106"/>
      <c r="G64" s="46"/>
      <c r="H64" s="107"/>
      <c r="I64" s="107"/>
      <c r="J64" s="107"/>
      <c r="K64" s="107"/>
      <c r="L64" s="107"/>
      <c r="M64" s="107"/>
      <c r="N64" s="107"/>
      <c r="O64" s="107"/>
      <c r="P64" s="107"/>
      <c r="Q64" s="107"/>
      <c r="R64" s="8"/>
      <c r="S64" s="8"/>
      <c r="T64" s="8"/>
      <c r="U64" s="8"/>
      <c r="V64" s="8"/>
      <c r="W64" s="8"/>
      <c r="X64" s="8"/>
    </row>
    <row r="65" spans="1:24" ht="15.75" customHeight="1">
      <c r="A65" s="47"/>
      <c r="B65" s="47"/>
      <c r="C65" s="36"/>
      <c r="D65" s="108"/>
      <c r="E65" s="106"/>
      <c r="F65" s="106"/>
      <c r="G65" s="46"/>
      <c r="H65" s="107"/>
      <c r="I65" s="107"/>
      <c r="J65" s="107"/>
      <c r="K65" s="107"/>
      <c r="L65" s="107"/>
      <c r="M65" s="107"/>
      <c r="N65" s="107"/>
      <c r="O65" s="107"/>
      <c r="P65" s="107"/>
      <c r="Q65" s="107"/>
      <c r="R65" s="8"/>
      <c r="S65" s="8"/>
      <c r="T65" s="8"/>
      <c r="U65" s="8"/>
      <c r="V65" s="8"/>
      <c r="W65" s="8"/>
      <c r="X65" s="8"/>
    </row>
    <row r="66" spans="1:24" ht="15.75" customHeight="1">
      <c r="A66" s="47"/>
      <c r="B66" s="47"/>
      <c r="C66" s="36"/>
      <c r="D66" s="106"/>
      <c r="E66" s="106"/>
      <c r="F66" s="106"/>
      <c r="G66" s="46"/>
      <c r="H66" s="107"/>
      <c r="I66" s="107"/>
      <c r="J66" s="107"/>
      <c r="K66" s="107"/>
      <c r="L66" s="107"/>
      <c r="M66" s="107"/>
      <c r="N66" s="107"/>
      <c r="O66" s="107"/>
      <c r="P66" s="107"/>
      <c r="Q66" s="107"/>
      <c r="R66" s="8"/>
      <c r="S66" s="8"/>
      <c r="T66" s="8"/>
      <c r="U66" s="8"/>
      <c r="V66" s="8"/>
      <c r="W66" s="8"/>
      <c r="X66" s="8"/>
    </row>
    <row r="67" spans="1:24" ht="15.75" customHeight="1">
      <c r="A67" s="47"/>
      <c r="B67" s="47"/>
      <c r="C67" s="36"/>
      <c r="D67" s="106"/>
      <c r="E67" s="106"/>
      <c r="F67" s="106"/>
      <c r="G67" s="46"/>
      <c r="H67" s="107"/>
      <c r="I67" s="107"/>
      <c r="J67" s="107"/>
      <c r="K67" s="107"/>
      <c r="L67" s="107"/>
      <c r="M67" s="107"/>
      <c r="N67" s="107"/>
      <c r="O67" s="107"/>
      <c r="P67" s="107"/>
      <c r="Q67" s="107"/>
      <c r="R67" s="8"/>
      <c r="S67" s="8"/>
      <c r="T67" s="8"/>
      <c r="U67" s="8"/>
      <c r="V67" s="8"/>
      <c r="W67" s="8"/>
      <c r="X67" s="8"/>
    </row>
    <row r="68" spans="1:24" ht="15.75" customHeight="1">
      <c r="A68" s="47"/>
      <c r="B68" s="47"/>
      <c r="C68" s="36"/>
      <c r="D68" s="106"/>
      <c r="E68" s="106"/>
      <c r="F68" s="106"/>
      <c r="G68" s="46"/>
      <c r="H68" s="107"/>
      <c r="I68" s="107"/>
      <c r="J68" s="107"/>
      <c r="K68" s="107"/>
      <c r="L68" s="107"/>
      <c r="M68" s="107"/>
      <c r="N68" s="107"/>
      <c r="O68" s="107"/>
      <c r="P68" s="107"/>
      <c r="Q68" s="107"/>
      <c r="R68" s="8"/>
      <c r="S68" s="8"/>
      <c r="T68" s="8"/>
      <c r="U68" s="8"/>
      <c r="V68" s="8"/>
      <c r="W68" s="8"/>
      <c r="X68" s="8"/>
    </row>
    <row r="69" spans="1:24" ht="15.75" customHeight="1">
      <c r="A69" s="47"/>
      <c r="B69" s="47"/>
      <c r="C69" s="36"/>
      <c r="D69" s="106"/>
      <c r="E69" s="106"/>
      <c r="F69" s="106"/>
      <c r="G69" s="46"/>
      <c r="H69" s="107"/>
      <c r="I69" s="107"/>
      <c r="J69" s="107"/>
      <c r="K69" s="107"/>
      <c r="L69" s="107"/>
      <c r="M69" s="107"/>
      <c r="N69" s="107"/>
      <c r="O69" s="107"/>
      <c r="P69" s="107"/>
      <c r="Q69" s="107"/>
      <c r="R69" s="8"/>
      <c r="S69" s="8"/>
      <c r="T69" s="8"/>
      <c r="U69" s="8"/>
      <c r="V69" s="8"/>
      <c r="W69" s="8"/>
      <c r="X69" s="8"/>
    </row>
    <row r="70" spans="1:24" ht="15.75" customHeight="1">
      <c r="A70" s="47"/>
      <c r="B70" s="47"/>
      <c r="C70" s="36"/>
      <c r="D70" s="106"/>
      <c r="E70" s="106"/>
      <c r="F70" s="106"/>
      <c r="G70" s="46"/>
      <c r="H70" s="107"/>
      <c r="I70" s="107"/>
      <c r="J70" s="107"/>
      <c r="K70" s="107"/>
      <c r="L70" s="107"/>
      <c r="M70" s="107"/>
      <c r="N70" s="107"/>
      <c r="O70" s="107"/>
      <c r="P70" s="107"/>
      <c r="Q70" s="107"/>
      <c r="R70" s="8"/>
      <c r="S70" s="8"/>
      <c r="T70" s="8"/>
      <c r="U70" s="8"/>
      <c r="V70" s="8"/>
      <c r="W70" s="8"/>
      <c r="X70" s="8"/>
    </row>
    <row r="71" spans="1:24" ht="15.75" customHeight="1">
      <c r="A71" s="47"/>
      <c r="B71" s="47"/>
      <c r="C71" s="36"/>
      <c r="D71" s="106"/>
      <c r="E71" s="106"/>
      <c r="F71" s="106"/>
      <c r="G71" s="46"/>
      <c r="H71" s="107"/>
      <c r="I71" s="107"/>
      <c r="J71" s="107"/>
      <c r="K71" s="107"/>
      <c r="L71" s="107"/>
      <c r="M71" s="107"/>
      <c r="N71" s="107"/>
      <c r="O71" s="107"/>
      <c r="P71" s="107"/>
      <c r="Q71" s="107"/>
      <c r="R71" s="8"/>
      <c r="S71" s="8"/>
      <c r="T71" s="8"/>
      <c r="U71" s="8"/>
      <c r="V71" s="8"/>
      <c r="W71" s="8"/>
      <c r="X71" s="8"/>
    </row>
    <row r="72" spans="1:24" ht="15.75" customHeight="1">
      <c r="A72" s="47"/>
      <c r="B72" s="47"/>
      <c r="C72" s="36"/>
      <c r="D72" s="106"/>
      <c r="E72" s="106"/>
      <c r="F72" s="106"/>
      <c r="G72" s="46"/>
      <c r="H72" s="107"/>
      <c r="I72" s="107"/>
      <c r="J72" s="107"/>
      <c r="K72" s="107"/>
      <c r="L72" s="107"/>
      <c r="M72" s="107"/>
      <c r="N72" s="107"/>
      <c r="O72" s="107"/>
      <c r="P72" s="107"/>
      <c r="Q72" s="107"/>
      <c r="R72" s="8"/>
      <c r="S72" s="8"/>
      <c r="T72" s="8"/>
      <c r="U72" s="8"/>
      <c r="V72" s="8"/>
      <c r="W72" s="8"/>
      <c r="X72" s="8"/>
    </row>
    <row r="73" spans="1:24" ht="15.75" customHeight="1">
      <c r="A73" s="107"/>
      <c r="B73" s="107"/>
      <c r="C73" s="107"/>
      <c r="D73" s="107"/>
      <c r="E73" s="107"/>
      <c r="F73" s="107"/>
      <c r="G73" s="109"/>
      <c r="H73" s="107"/>
      <c r="I73" s="107"/>
      <c r="J73" s="107"/>
      <c r="K73" s="107"/>
      <c r="L73" s="107"/>
      <c r="M73" s="107"/>
      <c r="N73" s="107"/>
      <c r="O73" s="107"/>
      <c r="P73" s="107"/>
      <c r="Q73" s="107"/>
      <c r="R73" s="8"/>
      <c r="S73" s="8"/>
      <c r="T73" s="8"/>
      <c r="U73" s="8"/>
      <c r="V73" s="8"/>
      <c r="W73" s="8"/>
      <c r="X73" s="8"/>
    </row>
    <row r="74" spans="1:24" ht="15.75" customHeight="1">
      <c r="A74" s="107"/>
      <c r="B74" s="107"/>
      <c r="C74" s="107"/>
      <c r="D74" s="107"/>
      <c r="E74" s="107"/>
      <c r="F74" s="107"/>
      <c r="G74" s="109"/>
      <c r="H74" s="107"/>
      <c r="I74" s="107"/>
      <c r="J74" s="107"/>
      <c r="K74" s="107"/>
      <c r="L74" s="107"/>
      <c r="M74" s="107"/>
      <c r="N74" s="107"/>
      <c r="O74" s="107"/>
      <c r="P74" s="107"/>
      <c r="Q74" s="107"/>
      <c r="R74" s="8"/>
      <c r="S74" s="8"/>
      <c r="T74" s="8"/>
      <c r="U74" s="8"/>
      <c r="V74" s="8"/>
      <c r="W74" s="8"/>
      <c r="X74" s="8"/>
    </row>
    <row r="75" spans="1:24" ht="15.75" customHeight="1">
      <c r="A75" s="107"/>
      <c r="B75" s="107"/>
      <c r="C75" s="107"/>
      <c r="D75" s="107"/>
      <c r="E75" s="107"/>
      <c r="F75" s="107"/>
      <c r="G75" s="109"/>
      <c r="H75" s="107"/>
      <c r="I75" s="107"/>
      <c r="J75" s="107"/>
      <c r="K75" s="107"/>
      <c r="L75" s="107"/>
      <c r="M75" s="107"/>
      <c r="N75" s="107"/>
      <c r="O75" s="107"/>
      <c r="P75" s="107"/>
      <c r="Q75" s="107"/>
      <c r="R75" s="8"/>
      <c r="S75" s="8"/>
      <c r="T75" s="8"/>
      <c r="U75" s="8"/>
      <c r="V75" s="8"/>
      <c r="W75" s="8"/>
      <c r="X75" s="8"/>
    </row>
    <row r="76" spans="1:24" ht="15.75" customHeight="1">
      <c r="A76" s="107"/>
      <c r="B76" s="107"/>
      <c r="C76" s="107"/>
      <c r="D76" s="107"/>
      <c r="E76" s="107"/>
      <c r="F76" s="107"/>
      <c r="G76" s="109"/>
      <c r="H76" s="107"/>
      <c r="I76" s="107"/>
      <c r="J76" s="107"/>
      <c r="K76" s="107"/>
      <c r="L76" s="107"/>
      <c r="M76" s="107"/>
      <c r="N76" s="107"/>
      <c r="O76" s="107"/>
      <c r="P76" s="107"/>
      <c r="Q76" s="107"/>
      <c r="R76" s="8"/>
      <c r="S76" s="8"/>
      <c r="T76" s="8"/>
      <c r="U76" s="8"/>
      <c r="V76" s="8"/>
      <c r="W76" s="8"/>
      <c r="X76" s="8"/>
    </row>
    <row r="77" spans="1:24" ht="15.75" customHeight="1">
      <c r="A77" s="36"/>
      <c r="B77" s="36"/>
      <c r="C77" s="36"/>
      <c r="D77" s="110"/>
      <c r="E77" s="110"/>
      <c r="F77" s="110"/>
      <c r="G77" s="46"/>
      <c r="H77" s="107"/>
      <c r="I77" s="107"/>
      <c r="J77" s="107"/>
      <c r="K77" s="107"/>
      <c r="L77" s="107"/>
      <c r="M77" s="107"/>
      <c r="N77" s="107"/>
      <c r="O77" s="107"/>
      <c r="P77" s="107"/>
      <c r="Q77" s="107"/>
      <c r="R77" s="8"/>
      <c r="S77" s="8"/>
      <c r="T77" s="8"/>
      <c r="U77" s="8"/>
      <c r="V77" s="8"/>
      <c r="W77" s="8"/>
      <c r="X77" s="8"/>
    </row>
    <row r="78" spans="1:24" ht="15.75" customHeight="1">
      <c r="A78" s="107"/>
      <c r="B78" s="107"/>
      <c r="C78" s="107"/>
      <c r="D78" s="107"/>
      <c r="E78" s="107"/>
      <c r="F78" s="107"/>
      <c r="G78" s="109"/>
      <c r="H78" s="107"/>
      <c r="I78" s="107"/>
      <c r="J78" s="107"/>
      <c r="K78" s="107"/>
      <c r="L78" s="107"/>
      <c r="M78" s="107"/>
      <c r="N78" s="107"/>
      <c r="O78" s="107"/>
      <c r="P78" s="107"/>
      <c r="Q78" s="107"/>
      <c r="R78" s="8"/>
      <c r="S78" s="8"/>
      <c r="T78" s="8"/>
      <c r="U78" s="8"/>
      <c r="V78" s="8"/>
      <c r="W78" s="8"/>
      <c r="X78" s="8"/>
    </row>
    <row r="79" spans="1:24" ht="15.75" customHeight="1">
      <c r="A79" s="107"/>
      <c r="B79" s="107"/>
      <c r="C79" s="107"/>
      <c r="D79" s="107"/>
      <c r="E79" s="107"/>
      <c r="F79" s="107"/>
      <c r="G79" s="109"/>
      <c r="H79" s="107"/>
      <c r="I79" s="107"/>
      <c r="J79" s="107"/>
      <c r="K79" s="107"/>
      <c r="L79" s="107"/>
      <c r="M79" s="107"/>
      <c r="N79" s="107"/>
      <c r="O79" s="107"/>
      <c r="P79" s="107"/>
      <c r="Q79" s="107"/>
      <c r="R79" s="8"/>
      <c r="S79" s="8"/>
      <c r="T79" s="8"/>
      <c r="U79" s="8"/>
      <c r="V79" s="8"/>
      <c r="W79" s="8"/>
      <c r="X79" s="8"/>
    </row>
    <row r="80" spans="1:24" ht="15.75" customHeight="1">
      <c r="A80" s="107"/>
      <c r="B80" s="107"/>
      <c r="C80" s="107"/>
      <c r="D80" s="107"/>
      <c r="E80" s="107"/>
      <c r="F80" s="107"/>
      <c r="G80" s="109"/>
      <c r="H80" s="107"/>
      <c r="I80" s="107"/>
      <c r="J80" s="107"/>
      <c r="K80" s="107"/>
      <c r="L80" s="107"/>
      <c r="M80" s="107"/>
      <c r="N80" s="107"/>
      <c r="O80" s="107"/>
      <c r="P80" s="107"/>
      <c r="Q80" s="107"/>
      <c r="R80" s="8"/>
      <c r="S80" s="8"/>
      <c r="T80" s="8"/>
      <c r="U80" s="8"/>
      <c r="V80" s="8"/>
      <c r="W80" s="8"/>
      <c r="X80" s="8"/>
    </row>
    <row r="81" spans="1:24" ht="15.75" customHeight="1">
      <c r="A81" s="107"/>
      <c r="B81" s="107"/>
      <c r="C81" s="107"/>
      <c r="D81" s="107"/>
      <c r="E81" s="107"/>
      <c r="F81" s="107"/>
      <c r="G81" s="109"/>
      <c r="H81" s="107"/>
      <c r="I81" s="107"/>
      <c r="J81" s="107"/>
      <c r="K81" s="107"/>
      <c r="L81" s="107"/>
      <c r="M81" s="107"/>
      <c r="N81" s="107"/>
      <c r="O81" s="107"/>
      <c r="P81" s="107"/>
      <c r="Q81" s="107"/>
      <c r="R81" s="8"/>
      <c r="S81" s="8"/>
      <c r="T81" s="8"/>
      <c r="U81" s="8"/>
      <c r="V81" s="8"/>
      <c r="W81" s="8"/>
      <c r="X81" s="8"/>
    </row>
    <row r="82" spans="1:24" ht="15.75" customHeight="1">
      <c r="A82" s="107"/>
      <c r="B82" s="107"/>
      <c r="C82" s="107"/>
      <c r="D82" s="107"/>
      <c r="E82" s="107"/>
      <c r="F82" s="107"/>
      <c r="G82" s="109"/>
      <c r="H82" s="107"/>
      <c r="I82" s="107"/>
      <c r="J82" s="107"/>
      <c r="K82" s="107"/>
      <c r="L82" s="107"/>
      <c r="M82" s="107"/>
      <c r="N82" s="107"/>
      <c r="O82" s="107"/>
      <c r="P82" s="107"/>
      <c r="Q82" s="107"/>
      <c r="R82" s="8"/>
      <c r="S82" s="8"/>
      <c r="T82" s="8"/>
      <c r="U82" s="8"/>
      <c r="V82" s="8"/>
      <c r="W82" s="8"/>
      <c r="X82" s="8"/>
    </row>
    <row r="83" spans="1:24" ht="15.75" customHeight="1">
      <c r="A83" s="107"/>
      <c r="B83" s="107"/>
      <c r="C83" s="107"/>
      <c r="D83" s="107"/>
      <c r="E83" s="107"/>
      <c r="F83" s="107"/>
      <c r="G83" s="109"/>
      <c r="H83" s="107"/>
      <c r="I83" s="107"/>
      <c r="J83" s="107"/>
      <c r="K83" s="107"/>
      <c r="L83" s="107"/>
      <c r="M83" s="107"/>
      <c r="N83" s="107"/>
      <c r="O83" s="107"/>
      <c r="P83" s="107"/>
      <c r="Q83" s="107"/>
      <c r="R83" s="8"/>
      <c r="S83" s="8"/>
      <c r="T83" s="8"/>
      <c r="U83" s="8"/>
      <c r="V83" s="8"/>
      <c r="W83" s="8"/>
      <c r="X83" s="8"/>
    </row>
    <row r="84" spans="1:24" ht="15.75" customHeight="1">
      <c r="A84" s="107"/>
      <c r="B84" s="107"/>
      <c r="C84" s="107"/>
      <c r="D84" s="107"/>
      <c r="E84" s="107"/>
      <c r="F84" s="107"/>
      <c r="G84" s="109"/>
      <c r="H84" s="107"/>
      <c r="I84" s="107"/>
      <c r="J84" s="107"/>
      <c r="K84" s="107"/>
      <c r="L84" s="107"/>
      <c r="M84" s="107"/>
      <c r="N84" s="107"/>
      <c r="O84" s="107"/>
      <c r="P84" s="107"/>
      <c r="Q84" s="107"/>
      <c r="R84" s="8"/>
      <c r="S84" s="8"/>
      <c r="T84" s="8"/>
      <c r="U84" s="8"/>
      <c r="V84" s="8"/>
      <c r="W84" s="8"/>
      <c r="X84" s="8"/>
    </row>
    <row r="85" spans="1:24" ht="15.75" customHeight="1">
      <c r="A85" s="107"/>
      <c r="B85" s="107"/>
      <c r="C85" s="107"/>
      <c r="D85" s="107"/>
      <c r="E85" s="107"/>
      <c r="F85" s="107"/>
      <c r="G85" s="109"/>
      <c r="H85" s="107"/>
      <c r="I85" s="107"/>
      <c r="J85" s="107"/>
      <c r="K85" s="107"/>
      <c r="L85" s="107"/>
      <c r="M85" s="107"/>
      <c r="N85" s="107"/>
      <c r="O85" s="107"/>
      <c r="P85" s="107"/>
      <c r="Q85" s="107"/>
      <c r="R85" s="8"/>
      <c r="S85" s="8"/>
      <c r="T85" s="8"/>
      <c r="U85" s="8"/>
      <c r="V85" s="8"/>
      <c r="W85" s="8"/>
      <c r="X85" s="8"/>
    </row>
    <row r="86" spans="1:24" ht="15.75" customHeight="1">
      <c r="A86" s="107"/>
      <c r="B86" s="107"/>
      <c r="C86" s="107"/>
      <c r="D86" s="107"/>
      <c r="E86" s="107"/>
      <c r="F86" s="107"/>
      <c r="G86" s="109"/>
      <c r="H86" s="107"/>
      <c r="I86" s="107"/>
      <c r="J86" s="107"/>
      <c r="K86" s="107"/>
      <c r="L86" s="107"/>
      <c r="M86" s="107"/>
      <c r="N86" s="107"/>
      <c r="O86" s="107"/>
      <c r="P86" s="107"/>
      <c r="Q86" s="107"/>
      <c r="R86" s="8"/>
      <c r="S86" s="8"/>
      <c r="T86" s="8"/>
      <c r="U86" s="8"/>
      <c r="V86" s="8"/>
      <c r="W86" s="8"/>
      <c r="X86" s="8"/>
    </row>
    <row r="87" spans="1:24" ht="15.75" customHeight="1">
      <c r="A87" s="107"/>
      <c r="B87" s="107"/>
      <c r="C87" s="107"/>
      <c r="D87" s="107"/>
      <c r="E87" s="107"/>
      <c r="F87" s="107"/>
      <c r="G87" s="109"/>
      <c r="H87" s="107"/>
      <c r="I87" s="107"/>
      <c r="J87" s="107"/>
      <c r="K87" s="107"/>
      <c r="L87" s="107"/>
      <c r="M87" s="107"/>
      <c r="N87" s="107"/>
      <c r="O87" s="107"/>
      <c r="P87" s="107"/>
      <c r="Q87" s="107"/>
      <c r="R87" s="8"/>
      <c r="S87" s="8"/>
      <c r="T87" s="8"/>
      <c r="U87" s="8"/>
      <c r="V87" s="8"/>
      <c r="W87" s="8"/>
      <c r="X87" s="8"/>
    </row>
    <row r="88" spans="1:24" ht="15.75" customHeight="1">
      <c r="A88" s="107"/>
      <c r="B88" s="107"/>
      <c r="C88" s="107"/>
      <c r="D88" s="107"/>
      <c r="E88" s="107"/>
      <c r="F88" s="107"/>
      <c r="G88" s="109"/>
      <c r="H88" s="107"/>
      <c r="I88" s="107"/>
      <c r="J88" s="107"/>
      <c r="K88" s="107"/>
      <c r="L88" s="107"/>
      <c r="M88" s="107"/>
      <c r="N88" s="107"/>
      <c r="O88" s="107"/>
      <c r="P88" s="107"/>
      <c r="Q88" s="107"/>
      <c r="R88" s="8"/>
      <c r="S88" s="8"/>
      <c r="T88" s="8"/>
      <c r="U88" s="8"/>
      <c r="V88" s="8"/>
      <c r="W88" s="8"/>
      <c r="X88" s="8"/>
    </row>
    <row r="89" spans="1:24" ht="15.75" customHeight="1">
      <c r="A89" s="107"/>
      <c r="B89" s="107"/>
      <c r="C89" s="107"/>
      <c r="D89" s="107"/>
      <c r="E89" s="107"/>
      <c r="F89" s="107"/>
      <c r="G89" s="109"/>
      <c r="H89" s="107"/>
      <c r="I89" s="107"/>
      <c r="J89" s="107"/>
      <c r="K89" s="107"/>
      <c r="L89" s="107"/>
      <c r="M89" s="107"/>
      <c r="N89" s="107"/>
      <c r="O89" s="107"/>
      <c r="P89" s="107"/>
      <c r="Q89" s="107"/>
      <c r="R89" s="8"/>
      <c r="S89" s="8"/>
      <c r="T89" s="8"/>
      <c r="U89" s="8"/>
      <c r="V89" s="8"/>
      <c r="W89" s="8"/>
      <c r="X89" s="8"/>
    </row>
    <row r="90" spans="1:24" ht="15.75" customHeight="1">
      <c r="A90" s="107"/>
      <c r="B90" s="107"/>
      <c r="C90" s="107"/>
      <c r="D90" s="107"/>
      <c r="E90" s="107"/>
      <c r="F90" s="107"/>
      <c r="G90" s="109"/>
      <c r="H90" s="107"/>
      <c r="I90" s="107"/>
      <c r="J90" s="107"/>
      <c r="K90" s="107"/>
      <c r="L90" s="107"/>
      <c r="M90" s="107"/>
      <c r="N90" s="107"/>
      <c r="O90" s="107"/>
      <c r="P90" s="107"/>
      <c r="Q90" s="107"/>
      <c r="R90" s="8"/>
      <c r="S90" s="8"/>
      <c r="T90" s="8"/>
      <c r="U90" s="8"/>
      <c r="V90" s="8"/>
      <c r="W90" s="8"/>
      <c r="X90" s="8"/>
    </row>
    <row r="91" spans="1:24" ht="15.75" customHeight="1">
      <c r="A91" s="107"/>
      <c r="B91" s="107"/>
      <c r="C91" s="107"/>
      <c r="D91" s="107"/>
      <c r="E91" s="107"/>
      <c r="F91" s="107"/>
      <c r="G91" s="109"/>
      <c r="H91" s="107"/>
      <c r="I91" s="107"/>
      <c r="J91" s="107"/>
      <c r="K91" s="107"/>
      <c r="L91" s="107"/>
      <c r="M91" s="107"/>
      <c r="N91" s="107"/>
      <c r="O91" s="107"/>
      <c r="P91" s="107"/>
      <c r="Q91" s="107"/>
      <c r="R91" s="8"/>
      <c r="S91" s="8"/>
      <c r="T91" s="8"/>
      <c r="U91" s="8"/>
      <c r="V91" s="8"/>
      <c r="W91" s="8"/>
      <c r="X91" s="8"/>
    </row>
    <row r="92" spans="1:24" ht="15.75" customHeight="1">
      <c r="A92" s="36"/>
      <c r="B92" s="36"/>
      <c r="C92" s="36"/>
      <c r="D92" s="110"/>
      <c r="E92" s="110"/>
      <c r="F92" s="110"/>
      <c r="G92" s="46"/>
      <c r="H92" s="107"/>
      <c r="I92" s="107"/>
      <c r="J92" s="107"/>
      <c r="K92" s="107"/>
      <c r="L92" s="107"/>
      <c r="M92" s="107"/>
      <c r="N92" s="107"/>
      <c r="O92" s="107"/>
      <c r="P92" s="107"/>
      <c r="Q92" s="107"/>
      <c r="R92" s="8"/>
      <c r="S92" s="8"/>
      <c r="T92" s="8"/>
      <c r="U92" s="8"/>
      <c r="V92" s="8"/>
      <c r="W92" s="8"/>
      <c r="X92" s="8"/>
    </row>
    <row r="93" spans="1:24" ht="15.75" customHeight="1">
      <c r="A93" s="107"/>
      <c r="B93" s="107"/>
      <c r="C93" s="107"/>
      <c r="D93" s="107"/>
      <c r="E93" s="107"/>
      <c r="F93" s="107"/>
      <c r="G93" s="107"/>
      <c r="H93" s="107"/>
      <c r="I93" s="107"/>
      <c r="J93" s="107"/>
      <c r="K93" s="107"/>
      <c r="L93" s="107"/>
      <c r="M93" s="107"/>
      <c r="N93" s="107"/>
      <c r="O93" s="107"/>
      <c r="P93" s="107"/>
      <c r="Q93" s="107"/>
      <c r="R93" s="8"/>
      <c r="S93" s="8"/>
      <c r="T93" s="8"/>
      <c r="U93" s="8"/>
      <c r="V93" s="8"/>
      <c r="W93" s="8"/>
      <c r="X93" s="8"/>
    </row>
    <row r="94" spans="1:24" ht="15.75" customHeight="1">
      <c r="A94" s="107"/>
      <c r="B94" s="107"/>
      <c r="C94" s="107"/>
      <c r="D94" s="107"/>
      <c r="E94" s="107"/>
      <c r="F94" s="107"/>
      <c r="G94" s="107"/>
      <c r="H94" s="107"/>
      <c r="I94" s="107"/>
      <c r="J94" s="107"/>
      <c r="K94" s="107"/>
      <c r="L94" s="107"/>
      <c r="M94" s="107"/>
      <c r="N94" s="107"/>
      <c r="O94" s="107"/>
      <c r="P94" s="107"/>
      <c r="Q94" s="107"/>
      <c r="R94" s="8"/>
      <c r="S94" s="8"/>
      <c r="T94" s="8"/>
      <c r="U94" s="8"/>
      <c r="V94" s="8"/>
      <c r="W94" s="8"/>
      <c r="X94" s="8"/>
    </row>
    <row r="95" spans="1:24" ht="15.75" customHeight="1">
      <c r="A95" s="107"/>
      <c r="B95" s="107"/>
      <c r="C95" s="107"/>
      <c r="D95" s="107"/>
      <c r="E95" s="107"/>
      <c r="F95" s="107"/>
      <c r="G95" s="107"/>
      <c r="H95" s="107"/>
      <c r="I95" s="107"/>
      <c r="J95" s="107"/>
      <c r="K95" s="107"/>
      <c r="L95" s="107"/>
      <c r="M95" s="107"/>
      <c r="N95" s="107"/>
      <c r="O95" s="107"/>
      <c r="P95" s="107"/>
      <c r="Q95" s="107"/>
      <c r="R95" s="8"/>
      <c r="S95" s="8"/>
      <c r="T95" s="8"/>
      <c r="U95" s="8"/>
      <c r="V95" s="8"/>
      <c r="W95" s="8"/>
      <c r="X95" s="8"/>
    </row>
    <row r="96" spans="1:24" ht="15.75" customHeight="1">
      <c r="A96" s="107"/>
      <c r="B96" s="107"/>
      <c r="C96" s="107"/>
      <c r="D96" s="107"/>
      <c r="E96" s="107"/>
      <c r="F96" s="107"/>
      <c r="G96" s="107"/>
      <c r="H96" s="107"/>
      <c r="I96" s="107"/>
      <c r="J96" s="107"/>
      <c r="K96" s="107"/>
      <c r="L96" s="107"/>
      <c r="M96" s="107"/>
      <c r="N96" s="107"/>
      <c r="O96" s="107"/>
      <c r="P96" s="107"/>
      <c r="Q96" s="107"/>
      <c r="R96" s="8"/>
      <c r="S96" s="8"/>
      <c r="T96" s="8"/>
      <c r="U96" s="8"/>
      <c r="V96" s="8"/>
      <c r="W96" s="8"/>
      <c r="X96" s="8"/>
    </row>
    <row r="97" spans="1:24" ht="15.75" customHeight="1">
      <c r="A97" s="107"/>
      <c r="B97" s="107"/>
      <c r="C97" s="107"/>
      <c r="D97" s="107"/>
      <c r="E97" s="107"/>
      <c r="F97" s="107"/>
      <c r="G97" s="107"/>
      <c r="H97" s="107"/>
      <c r="I97" s="107"/>
      <c r="J97" s="107"/>
      <c r="K97" s="107"/>
      <c r="L97" s="107"/>
      <c r="M97" s="107"/>
      <c r="N97" s="107"/>
      <c r="O97" s="107"/>
      <c r="P97" s="107"/>
      <c r="Q97" s="107"/>
      <c r="R97" s="8"/>
      <c r="S97" s="8"/>
      <c r="T97" s="8"/>
      <c r="U97" s="8"/>
      <c r="V97" s="8"/>
      <c r="W97" s="8"/>
      <c r="X97" s="8"/>
    </row>
    <row r="98" spans="1:24" ht="15.75" customHeight="1">
      <c r="A98" s="107"/>
      <c r="B98" s="107"/>
      <c r="C98" s="107"/>
      <c r="D98" s="107"/>
      <c r="E98" s="107"/>
      <c r="F98" s="107"/>
      <c r="G98" s="107"/>
      <c r="H98" s="107"/>
      <c r="I98" s="107"/>
      <c r="J98" s="107"/>
      <c r="K98" s="107"/>
      <c r="L98" s="107"/>
      <c r="M98" s="107"/>
      <c r="N98" s="107"/>
      <c r="O98" s="107"/>
      <c r="P98" s="107"/>
      <c r="Q98" s="107"/>
      <c r="R98" s="8"/>
      <c r="S98" s="8"/>
      <c r="T98" s="8"/>
      <c r="U98" s="8"/>
      <c r="V98" s="8"/>
      <c r="W98" s="8"/>
      <c r="X98" s="8"/>
    </row>
    <row r="99" spans="1:24" ht="15.75" customHeight="1">
      <c r="A99" s="107"/>
      <c r="B99" s="107"/>
      <c r="C99" s="107"/>
      <c r="D99" s="107"/>
      <c r="E99" s="107"/>
      <c r="F99" s="107"/>
      <c r="G99" s="107"/>
      <c r="H99" s="107"/>
      <c r="I99" s="107"/>
      <c r="J99" s="107"/>
      <c r="K99" s="107"/>
      <c r="L99" s="107"/>
      <c r="M99" s="107"/>
      <c r="N99" s="107"/>
      <c r="O99" s="107"/>
      <c r="P99" s="107"/>
      <c r="Q99" s="107"/>
      <c r="R99" s="8"/>
      <c r="S99" s="8"/>
      <c r="T99" s="8"/>
      <c r="U99" s="8"/>
      <c r="V99" s="8"/>
      <c r="W99" s="8"/>
      <c r="X99" s="8"/>
    </row>
    <row r="100" spans="1:24" ht="15.75" customHeight="1">
      <c r="A100" s="107"/>
      <c r="B100" s="107"/>
      <c r="C100" s="107"/>
      <c r="D100" s="107"/>
      <c r="E100" s="107"/>
      <c r="F100" s="107"/>
      <c r="G100" s="107"/>
      <c r="H100" s="107"/>
      <c r="I100" s="107"/>
      <c r="J100" s="107"/>
      <c r="K100" s="107"/>
      <c r="L100" s="107"/>
      <c r="M100" s="107"/>
      <c r="N100" s="107"/>
      <c r="O100" s="107"/>
      <c r="P100" s="107"/>
      <c r="Q100" s="107"/>
      <c r="R100" s="8"/>
      <c r="S100" s="8"/>
      <c r="T100" s="8"/>
      <c r="U100" s="8"/>
      <c r="V100" s="8"/>
      <c r="W100" s="8"/>
      <c r="X100" s="8"/>
    </row>
    <row r="101" spans="1:24" ht="15.75" customHeight="1">
      <c r="A101" s="107"/>
      <c r="B101" s="107"/>
      <c r="C101" s="107"/>
      <c r="D101" s="107"/>
      <c r="E101" s="107"/>
      <c r="F101" s="107"/>
      <c r="G101" s="107"/>
      <c r="H101" s="107"/>
      <c r="I101" s="107"/>
      <c r="J101" s="107"/>
      <c r="K101" s="107"/>
      <c r="L101" s="107"/>
      <c r="M101" s="107"/>
      <c r="N101" s="107"/>
      <c r="O101" s="107"/>
      <c r="P101" s="107"/>
      <c r="Q101" s="107"/>
      <c r="R101" s="8"/>
      <c r="S101" s="8"/>
      <c r="T101" s="8"/>
      <c r="U101" s="8"/>
      <c r="V101" s="8"/>
      <c r="W101" s="8"/>
      <c r="X101" s="8"/>
    </row>
    <row r="102" spans="1:24" ht="15.75" customHeight="1">
      <c r="A102" s="107"/>
      <c r="B102" s="107"/>
      <c r="C102" s="107"/>
      <c r="D102" s="107"/>
      <c r="E102" s="107"/>
      <c r="F102" s="107"/>
      <c r="G102" s="107"/>
      <c r="H102" s="107"/>
      <c r="I102" s="107"/>
      <c r="J102" s="107"/>
      <c r="K102" s="107"/>
      <c r="L102" s="107"/>
      <c r="M102" s="107"/>
      <c r="N102" s="107"/>
      <c r="O102" s="107"/>
      <c r="P102" s="107"/>
      <c r="Q102" s="107"/>
      <c r="R102" s="8"/>
      <c r="S102" s="8"/>
      <c r="T102" s="8"/>
      <c r="U102" s="8"/>
      <c r="V102" s="8"/>
      <c r="W102" s="8"/>
      <c r="X102" s="8"/>
    </row>
    <row r="103" spans="1:24" ht="15.75" customHeight="1">
      <c r="A103" s="36"/>
      <c r="B103" s="36"/>
      <c r="C103" s="36"/>
      <c r="D103" s="110"/>
      <c r="E103" s="110"/>
      <c r="F103" s="110"/>
      <c r="G103" s="36"/>
      <c r="H103" s="107"/>
      <c r="I103" s="107"/>
      <c r="J103" s="107"/>
      <c r="K103" s="107"/>
      <c r="L103" s="107"/>
      <c r="M103" s="107"/>
      <c r="N103" s="107"/>
      <c r="O103" s="107"/>
      <c r="P103" s="107"/>
      <c r="Q103" s="107"/>
      <c r="R103" s="8"/>
      <c r="S103" s="8"/>
      <c r="T103" s="8"/>
      <c r="U103" s="8"/>
      <c r="V103" s="8"/>
      <c r="W103" s="8"/>
      <c r="X103" s="8"/>
    </row>
    <row r="104" spans="1:24" ht="15.75" customHeight="1">
      <c r="A104" s="36"/>
      <c r="B104" s="36"/>
      <c r="C104" s="36"/>
      <c r="D104" s="110"/>
      <c r="E104" s="110"/>
      <c r="F104" s="110"/>
      <c r="G104" s="36"/>
      <c r="H104" s="107"/>
      <c r="I104" s="107"/>
      <c r="J104" s="107"/>
      <c r="K104" s="107"/>
      <c r="L104" s="107"/>
      <c r="M104" s="107"/>
      <c r="N104" s="107"/>
      <c r="O104" s="107"/>
      <c r="P104" s="107"/>
      <c r="Q104" s="107"/>
      <c r="R104" s="8"/>
      <c r="S104" s="8"/>
      <c r="T104" s="8"/>
      <c r="U104" s="8"/>
      <c r="V104" s="8"/>
      <c r="W104" s="8"/>
      <c r="X104" s="8"/>
    </row>
    <row r="105" spans="1:24" ht="15.75" customHeight="1">
      <c r="A105" s="36"/>
      <c r="B105" s="36"/>
      <c r="C105" s="36"/>
      <c r="D105" s="110"/>
      <c r="E105" s="110"/>
      <c r="F105" s="110"/>
      <c r="G105" s="36"/>
      <c r="H105" s="107"/>
      <c r="I105" s="107"/>
      <c r="J105" s="107"/>
      <c r="K105" s="107"/>
      <c r="L105" s="107"/>
      <c r="M105" s="107"/>
      <c r="N105" s="107"/>
      <c r="O105" s="107"/>
      <c r="P105" s="107"/>
      <c r="Q105" s="107"/>
      <c r="R105" s="8"/>
      <c r="S105" s="8"/>
      <c r="T105" s="8"/>
      <c r="U105" s="8"/>
      <c r="V105" s="8"/>
      <c r="W105" s="8"/>
      <c r="X105" s="8"/>
    </row>
    <row r="106" spans="1:24" ht="15.75" customHeight="1">
      <c r="A106" s="36"/>
      <c r="B106" s="36"/>
      <c r="C106" s="36"/>
      <c r="D106" s="110"/>
      <c r="E106" s="110"/>
      <c r="F106" s="110"/>
      <c r="G106" s="36"/>
      <c r="H106" s="107"/>
      <c r="I106" s="107"/>
      <c r="J106" s="107"/>
      <c r="K106" s="107"/>
      <c r="L106" s="107"/>
      <c r="M106" s="107"/>
      <c r="N106" s="107"/>
      <c r="O106" s="107"/>
      <c r="P106" s="107"/>
      <c r="Q106" s="107"/>
      <c r="R106" s="8"/>
      <c r="S106" s="8"/>
      <c r="T106" s="8"/>
      <c r="U106" s="8"/>
      <c r="V106" s="8"/>
      <c r="W106" s="8"/>
      <c r="X106" s="8"/>
    </row>
    <row r="107" spans="1:24" ht="15.75" customHeight="1">
      <c r="A107" s="36"/>
      <c r="B107" s="36"/>
      <c r="C107" s="36"/>
      <c r="D107" s="110"/>
      <c r="E107" s="110"/>
      <c r="F107" s="110"/>
      <c r="G107" s="36"/>
      <c r="H107" s="107"/>
      <c r="I107" s="107"/>
      <c r="J107" s="107"/>
      <c r="K107" s="107"/>
      <c r="L107" s="107"/>
      <c r="M107" s="107"/>
      <c r="N107" s="107"/>
      <c r="O107" s="107"/>
      <c r="P107" s="107"/>
      <c r="Q107" s="107"/>
      <c r="R107" s="8"/>
      <c r="S107" s="8"/>
      <c r="T107" s="8"/>
      <c r="U107" s="8"/>
      <c r="V107" s="8"/>
      <c r="W107" s="8"/>
      <c r="X107" s="8"/>
    </row>
    <row r="108" spans="1:24" ht="15.75" customHeight="1">
      <c r="A108" s="36"/>
      <c r="B108" s="36"/>
      <c r="C108" s="36"/>
      <c r="D108" s="110"/>
      <c r="E108" s="110"/>
      <c r="F108" s="110"/>
      <c r="G108" s="36"/>
      <c r="H108" s="107"/>
      <c r="I108" s="107"/>
      <c r="J108" s="107"/>
      <c r="K108" s="107"/>
      <c r="L108" s="107"/>
      <c r="M108" s="107"/>
      <c r="N108" s="107"/>
      <c r="O108" s="107"/>
      <c r="P108" s="107"/>
      <c r="Q108" s="107"/>
      <c r="R108" s="8"/>
      <c r="S108" s="8"/>
      <c r="T108" s="8"/>
      <c r="U108" s="8"/>
      <c r="V108" s="8"/>
      <c r="W108" s="8"/>
      <c r="X108" s="8"/>
    </row>
    <row r="109" spans="1:24" ht="15.75" customHeight="1">
      <c r="A109" s="36"/>
      <c r="B109" s="36"/>
      <c r="C109" s="36"/>
      <c r="D109" s="110"/>
      <c r="E109" s="110"/>
      <c r="F109" s="110"/>
      <c r="G109" s="36"/>
      <c r="H109" s="107"/>
      <c r="I109" s="107"/>
      <c r="J109" s="107"/>
      <c r="K109" s="107"/>
      <c r="L109" s="107"/>
      <c r="M109" s="107"/>
      <c r="N109" s="107"/>
      <c r="O109" s="107"/>
      <c r="P109" s="107"/>
      <c r="Q109" s="107"/>
      <c r="R109" s="8"/>
      <c r="S109" s="8"/>
      <c r="T109" s="8"/>
      <c r="U109" s="8"/>
      <c r="V109" s="8"/>
      <c r="W109" s="8"/>
      <c r="X109" s="8"/>
    </row>
    <row r="110" spans="1:24" ht="15.75" customHeight="1">
      <c r="A110" s="36"/>
      <c r="B110" s="36"/>
      <c r="C110" s="36"/>
      <c r="D110" s="110"/>
      <c r="E110" s="110"/>
      <c r="F110" s="110"/>
      <c r="G110" s="36"/>
      <c r="H110" s="107"/>
      <c r="I110" s="107"/>
      <c r="J110" s="107"/>
      <c r="K110" s="107"/>
      <c r="L110" s="107"/>
      <c r="M110" s="107"/>
      <c r="N110" s="107"/>
      <c r="O110" s="107"/>
      <c r="P110" s="107"/>
      <c r="Q110" s="107"/>
      <c r="R110" s="8"/>
      <c r="S110" s="8"/>
      <c r="T110" s="8"/>
      <c r="U110" s="8"/>
      <c r="V110" s="8"/>
      <c r="W110" s="8"/>
      <c r="X110" s="8"/>
    </row>
    <row r="111" spans="1:24" ht="15.75" customHeight="1">
      <c r="A111" s="36"/>
      <c r="B111" s="36"/>
      <c r="C111" s="36"/>
      <c r="D111" s="110"/>
      <c r="E111" s="110"/>
      <c r="F111" s="110"/>
      <c r="G111" s="36"/>
      <c r="H111" s="107"/>
      <c r="I111" s="107"/>
      <c r="J111" s="107"/>
      <c r="K111" s="107"/>
      <c r="L111" s="107"/>
      <c r="M111" s="107"/>
      <c r="N111" s="107"/>
      <c r="O111" s="107"/>
      <c r="P111" s="107"/>
      <c r="Q111" s="107"/>
      <c r="R111" s="8"/>
      <c r="S111" s="8"/>
      <c r="T111" s="8"/>
      <c r="U111" s="8"/>
      <c r="V111" s="8"/>
      <c r="W111" s="8"/>
      <c r="X111" s="8"/>
    </row>
    <row r="112" spans="1:24" ht="15.75" customHeight="1">
      <c r="A112" s="36"/>
      <c r="B112" s="36"/>
      <c r="C112" s="36"/>
      <c r="D112" s="110"/>
      <c r="E112" s="110"/>
      <c r="F112" s="110"/>
      <c r="G112" s="36"/>
      <c r="H112" s="107"/>
      <c r="I112" s="107"/>
      <c r="J112" s="107"/>
      <c r="K112" s="107"/>
      <c r="L112" s="107"/>
      <c r="M112" s="107"/>
      <c r="N112" s="107"/>
      <c r="O112" s="107"/>
      <c r="P112" s="107"/>
      <c r="Q112" s="107"/>
      <c r="R112" s="8"/>
      <c r="S112" s="8"/>
      <c r="T112" s="8"/>
      <c r="U112" s="8"/>
      <c r="V112" s="8"/>
      <c r="W112" s="8"/>
      <c r="X112" s="8"/>
    </row>
    <row r="113" spans="1:24" ht="15.75" customHeight="1">
      <c r="A113" s="36"/>
      <c r="B113" s="36"/>
      <c r="C113" s="36"/>
      <c r="D113" s="110"/>
      <c r="E113" s="110"/>
      <c r="F113" s="110"/>
      <c r="G113" s="36"/>
      <c r="H113" s="107"/>
      <c r="I113" s="107"/>
      <c r="J113" s="107"/>
      <c r="K113" s="107"/>
      <c r="L113" s="107"/>
      <c r="M113" s="107"/>
      <c r="N113" s="107"/>
      <c r="O113" s="107"/>
      <c r="P113" s="107"/>
      <c r="Q113" s="107"/>
      <c r="R113" s="8"/>
      <c r="S113" s="8"/>
      <c r="T113" s="8"/>
      <c r="U113" s="8"/>
      <c r="V113" s="8"/>
      <c r="W113" s="8"/>
      <c r="X113" s="8"/>
    </row>
    <row r="114" spans="1:24" ht="15.75" customHeight="1">
      <c r="A114" s="36"/>
      <c r="B114" s="36"/>
      <c r="C114" s="36"/>
      <c r="D114" s="110"/>
      <c r="E114" s="110"/>
      <c r="F114" s="110"/>
      <c r="G114" s="36"/>
      <c r="H114" s="107"/>
      <c r="I114" s="107"/>
      <c r="J114" s="107"/>
      <c r="K114" s="107"/>
      <c r="L114" s="107"/>
      <c r="M114" s="107"/>
      <c r="N114" s="107"/>
      <c r="O114" s="107"/>
      <c r="P114" s="107"/>
      <c r="Q114" s="107"/>
      <c r="R114" s="8"/>
      <c r="S114" s="8"/>
      <c r="T114" s="8"/>
      <c r="U114" s="8"/>
      <c r="V114" s="8"/>
      <c r="W114" s="8"/>
      <c r="X114" s="8"/>
    </row>
    <row r="115" spans="1:24" ht="15.75" customHeight="1">
      <c r="A115" s="36"/>
      <c r="B115" s="36"/>
      <c r="C115" s="36"/>
      <c r="D115" s="110"/>
      <c r="E115" s="110"/>
      <c r="F115" s="110"/>
      <c r="G115" s="36"/>
      <c r="H115" s="107"/>
      <c r="I115" s="107"/>
      <c r="J115" s="107"/>
      <c r="K115" s="107"/>
      <c r="L115" s="107"/>
      <c r="M115" s="107"/>
      <c r="N115" s="107"/>
      <c r="O115" s="107"/>
      <c r="P115" s="107"/>
      <c r="Q115" s="107"/>
      <c r="R115" s="8"/>
      <c r="S115" s="8"/>
      <c r="T115" s="8"/>
      <c r="U115" s="8"/>
      <c r="V115" s="8"/>
      <c r="W115" s="8"/>
      <c r="X115" s="8"/>
    </row>
    <row r="116" spans="1:24" ht="15.75" customHeight="1">
      <c r="A116" s="36"/>
      <c r="B116" s="36"/>
      <c r="C116" s="36"/>
      <c r="D116" s="110"/>
      <c r="E116" s="110"/>
      <c r="F116" s="110"/>
      <c r="G116" s="36"/>
      <c r="H116" s="107"/>
      <c r="I116" s="107"/>
      <c r="J116" s="107"/>
      <c r="K116" s="107"/>
      <c r="L116" s="107"/>
      <c r="M116" s="107"/>
      <c r="N116" s="107"/>
      <c r="O116" s="107"/>
      <c r="P116" s="107"/>
      <c r="Q116" s="107"/>
      <c r="R116" s="8"/>
      <c r="S116" s="8"/>
      <c r="T116" s="8"/>
      <c r="U116" s="8"/>
      <c r="V116" s="8"/>
      <c r="W116" s="8"/>
      <c r="X116" s="8"/>
    </row>
    <row r="117" spans="1:24" ht="15.75" customHeight="1">
      <c r="A117" s="36"/>
      <c r="B117" s="36"/>
      <c r="C117" s="36"/>
      <c r="D117" s="110"/>
      <c r="E117" s="110"/>
      <c r="F117" s="110"/>
      <c r="G117" s="36"/>
      <c r="H117" s="107"/>
      <c r="I117" s="107"/>
      <c r="J117" s="107"/>
      <c r="K117" s="107"/>
      <c r="L117" s="107"/>
      <c r="M117" s="107"/>
      <c r="N117" s="107"/>
      <c r="O117" s="107"/>
      <c r="P117" s="107"/>
      <c r="Q117" s="107"/>
      <c r="R117" s="8"/>
      <c r="S117" s="8"/>
      <c r="T117" s="8"/>
      <c r="U117" s="8"/>
      <c r="V117" s="8"/>
      <c r="W117" s="8"/>
      <c r="X117" s="8"/>
    </row>
    <row r="118" spans="1:24" ht="15.75" customHeight="1">
      <c r="A118" s="36"/>
      <c r="B118" s="36"/>
      <c r="C118" s="36"/>
      <c r="D118" s="110"/>
      <c r="E118" s="110"/>
      <c r="F118" s="110"/>
      <c r="G118" s="36"/>
      <c r="H118" s="107"/>
      <c r="I118" s="107"/>
      <c r="J118" s="107"/>
      <c r="K118" s="107"/>
      <c r="L118" s="107"/>
      <c r="M118" s="107"/>
      <c r="N118" s="107"/>
      <c r="O118" s="107"/>
      <c r="P118" s="107"/>
      <c r="Q118" s="107"/>
      <c r="R118" s="8"/>
      <c r="S118" s="8"/>
      <c r="T118" s="8"/>
      <c r="U118" s="8"/>
      <c r="V118" s="8"/>
      <c r="W118" s="8"/>
      <c r="X118" s="8"/>
    </row>
    <row r="119" spans="1:24" ht="15.75" customHeight="1">
      <c r="A119" s="36"/>
      <c r="B119" s="36"/>
      <c r="C119" s="36"/>
      <c r="D119" s="110"/>
      <c r="E119" s="110"/>
      <c r="F119" s="110"/>
      <c r="G119" s="36"/>
      <c r="H119" s="107"/>
      <c r="I119" s="107"/>
      <c r="J119" s="107"/>
      <c r="K119" s="107"/>
      <c r="L119" s="107"/>
      <c r="M119" s="107"/>
      <c r="N119" s="107"/>
      <c r="O119" s="107"/>
      <c r="P119" s="107"/>
      <c r="Q119" s="107"/>
      <c r="R119" s="8"/>
      <c r="S119" s="8"/>
      <c r="T119" s="8"/>
      <c r="U119" s="8"/>
      <c r="V119" s="8"/>
      <c r="W119" s="8"/>
      <c r="X119" s="8"/>
    </row>
    <row r="120" spans="1:24" ht="15.75" customHeight="1">
      <c r="A120" s="36"/>
      <c r="B120" s="36"/>
      <c r="C120" s="36"/>
      <c r="D120" s="110"/>
      <c r="E120" s="110"/>
      <c r="F120" s="110"/>
      <c r="G120" s="36"/>
      <c r="H120" s="107"/>
      <c r="I120" s="107"/>
      <c r="J120" s="107"/>
      <c r="K120" s="107"/>
      <c r="L120" s="107"/>
      <c r="M120" s="107"/>
      <c r="N120" s="107"/>
      <c r="O120" s="107"/>
      <c r="P120" s="107"/>
      <c r="Q120" s="107"/>
      <c r="R120" s="8"/>
      <c r="S120" s="8"/>
      <c r="T120" s="8"/>
      <c r="U120" s="8"/>
      <c r="V120" s="8"/>
      <c r="W120" s="8"/>
      <c r="X120" s="8"/>
    </row>
    <row r="121" spans="1:24" ht="15.75" customHeight="1">
      <c r="A121" s="36"/>
      <c r="B121" s="36"/>
      <c r="C121" s="36"/>
      <c r="D121" s="110"/>
      <c r="E121" s="110"/>
      <c r="F121" s="110"/>
      <c r="G121" s="36"/>
      <c r="H121" s="107"/>
      <c r="I121" s="107"/>
      <c r="J121" s="107"/>
      <c r="K121" s="107"/>
      <c r="L121" s="107"/>
      <c r="M121" s="107"/>
      <c r="N121" s="107"/>
      <c r="O121" s="107"/>
      <c r="P121" s="107"/>
      <c r="Q121" s="107"/>
      <c r="R121" s="8"/>
      <c r="S121" s="8"/>
      <c r="T121" s="8"/>
      <c r="U121" s="8"/>
      <c r="V121" s="8"/>
      <c r="W121" s="8"/>
      <c r="X121" s="8"/>
    </row>
    <row r="122" spans="1:24" ht="15.75" customHeight="1">
      <c r="A122" s="36"/>
      <c r="B122" s="36"/>
      <c r="C122" s="36"/>
      <c r="D122" s="110"/>
      <c r="E122" s="110"/>
      <c r="F122" s="110"/>
      <c r="G122" s="36"/>
      <c r="H122" s="107"/>
      <c r="I122" s="107"/>
      <c r="J122" s="107"/>
      <c r="K122" s="107"/>
      <c r="L122" s="107"/>
      <c r="M122" s="107"/>
      <c r="N122" s="107"/>
      <c r="O122" s="107"/>
      <c r="P122" s="107"/>
      <c r="Q122" s="107"/>
      <c r="R122" s="8"/>
      <c r="S122" s="8"/>
      <c r="T122" s="8"/>
      <c r="U122" s="8"/>
      <c r="V122" s="8"/>
      <c r="W122" s="8"/>
      <c r="X122" s="8"/>
    </row>
    <row r="123" spans="1:24" ht="15.75" customHeight="1">
      <c r="A123" s="36"/>
      <c r="B123" s="36"/>
      <c r="C123" s="36"/>
      <c r="D123" s="110"/>
      <c r="E123" s="110"/>
      <c r="F123" s="110"/>
      <c r="G123" s="36"/>
      <c r="H123" s="107"/>
      <c r="I123" s="107"/>
      <c r="J123" s="107"/>
      <c r="K123" s="107"/>
      <c r="L123" s="107"/>
      <c r="M123" s="107"/>
      <c r="N123" s="107"/>
      <c r="O123" s="107"/>
      <c r="P123" s="107"/>
      <c r="Q123" s="107"/>
      <c r="R123" s="8"/>
      <c r="S123" s="8"/>
      <c r="T123" s="8"/>
      <c r="U123" s="8"/>
      <c r="V123" s="8"/>
      <c r="W123" s="8"/>
      <c r="X123" s="8"/>
    </row>
    <row r="124" spans="1:24" ht="15.75" customHeight="1">
      <c r="A124" s="36"/>
      <c r="B124" s="36"/>
      <c r="C124" s="36"/>
      <c r="D124" s="110"/>
      <c r="E124" s="110"/>
      <c r="F124" s="110"/>
      <c r="G124" s="36"/>
      <c r="H124" s="107"/>
      <c r="I124" s="107"/>
      <c r="J124" s="107"/>
      <c r="K124" s="107"/>
      <c r="L124" s="107"/>
      <c r="M124" s="107"/>
      <c r="N124" s="107"/>
      <c r="O124" s="107"/>
      <c r="P124" s="107"/>
      <c r="Q124" s="107"/>
      <c r="R124" s="8"/>
      <c r="S124" s="8"/>
      <c r="T124" s="8"/>
      <c r="U124" s="8"/>
      <c r="V124" s="8"/>
      <c r="W124" s="8"/>
      <c r="X124" s="8"/>
    </row>
    <row r="125" spans="1:24" ht="15.75" customHeight="1">
      <c r="A125" s="36"/>
      <c r="B125" s="36"/>
      <c r="C125" s="36"/>
      <c r="D125" s="110"/>
      <c r="E125" s="110"/>
      <c r="F125" s="110"/>
      <c r="G125" s="36"/>
      <c r="H125" s="107"/>
      <c r="I125" s="107"/>
      <c r="J125" s="107"/>
      <c r="K125" s="107"/>
      <c r="L125" s="107"/>
      <c r="M125" s="107"/>
      <c r="N125" s="107"/>
      <c r="O125" s="107"/>
      <c r="P125" s="107"/>
      <c r="Q125" s="107"/>
      <c r="R125" s="8"/>
      <c r="S125" s="8"/>
      <c r="T125" s="8"/>
      <c r="U125" s="8"/>
      <c r="V125" s="8"/>
      <c r="W125" s="8"/>
      <c r="X125" s="8"/>
    </row>
    <row r="126" spans="1:24" ht="15.75" customHeight="1">
      <c r="A126" s="36"/>
      <c r="B126" s="36"/>
      <c r="C126" s="36"/>
      <c r="D126" s="110"/>
      <c r="E126" s="110"/>
      <c r="F126" s="110"/>
      <c r="G126" s="36"/>
      <c r="H126" s="107"/>
      <c r="I126" s="107"/>
      <c r="J126" s="107"/>
      <c r="K126" s="107"/>
      <c r="L126" s="107"/>
      <c r="M126" s="107"/>
      <c r="N126" s="107"/>
      <c r="O126" s="107"/>
      <c r="P126" s="107"/>
      <c r="Q126" s="107"/>
      <c r="R126" s="8"/>
      <c r="S126" s="8"/>
      <c r="T126" s="8"/>
      <c r="U126" s="8"/>
      <c r="V126" s="8"/>
      <c r="W126" s="8"/>
      <c r="X126" s="8"/>
    </row>
    <row r="127" spans="1:24" ht="15.75" customHeight="1">
      <c r="A127" s="36"/>
      <c r="B127" s="36"/>
      <c r="C127" s="36"/>
      <c r="D127" s="110"/>
      <c r="E127" s="110"/>
      <c r="F127" s="110"/>
      <c r="G127" s="36"/>
      <c r="H127" s="107"/>
      <c r="I127" s="107"/>
      <c r="J127" s="107"/>
      <c r="K127" s="107"/>
      <c r="L127" s="107"/>
      <c r="M127" s="107"/>
      <c r="N127" s="107"/>
      <c r="O127" s="107"/>
      <c r="P127" s="107"/>
      <c r="Q127" s="107"/>
      <c r="R127" s="8"/>
      <c r="S127" s="8"/>
      <c r="T127" s="8"/>
      <c r="U127" s="8"/>
      <c r="V127" s="8"/>
      <c r="W127" s="8"/>
      <c r="X127" s="8"/>
    </row>
    <row r="128" spans="1:24" ht="15.75" customHeight="1">
      <c r="A128" s="36"/>
      <c r="B128" s="36"/>
      <c r="C128" s="36"/>
      <c r="D128" s="110"/>
      <c r="E128" s="110"/>
      <c r="F128" s="110"/>
      <c r="G128" s="36"/>
      <c r="H128" s="107"/>
      <c r="I128" s="107"/>
      <c r="J128" s="107"/>
      <c r="K128" s="107"/>
      <c r="L128" s="107"/>
      <c r="M128" s="107"/>
      <c r="N128" s="107"/>
      <c r="O128" s="107"/>
      <c r="P128" s="107"/>
      <c r="Q128" s="107"/>
      <c r="R128" s="8"/>
      <c r="S128" s="8"/>
      <c r="T128" s="8"/>
      <c r="U128" s="8"/>
      <c r="V128" s="8"/>
      <c r="W128" s="8"/>
      <c r="X128" s="8"/>
    </row>
    <row r="129" spans="1:24" ht="15.75" customHeight="1">
      <c r="A129" s="36"/>
      <c r="B129" s="36"/>
      <c r="C129" s="36"/>
      <c r="D129" s="110"/>
      <c r="E129" s="110"/>
      <c r="F129" s="110"/>
      <c r="G129" s="36"/>
      <c r="H129" s="107"/>
      <c r="I129" s="107"/>
      <c r="J129" s="107"/>
      <c r="K129" s="107"/>
      <c r="L129" s="107"/>
      <c r="M129" s="107"/>
      <c r="N129" s="107"/>
      <c r="O129" s="107"/>
      <c r="P129" s="107"/>
      <c r="Q129" s="107"/>
      <c r="R129" s="8"/>
      <c r="S129" s="8"/>
      <c r="T129" s="8"/>
      <c r="U129" s="8"/>
      <c r="V129" s="8"/>
      <c r="W129" s="8"/>
      <c r="X129" s="8"/>
    </row>
    <row r="130" spans="1:24" ht="15.75" customHeight="1">
      <c r="A130" s="36"/>
      <c r="B130" s="36"/>
      <c r="C130" s="36"/>
      <c r="D130" s="110"/>
      <c r="E130" s="110"/>
      <c r="F130" s="110"/>
      <c r="G130" s="36"/>
      <c r="H130" s="107"/>
      <c r="I130" s="107"/>
      <c r="J130" s="107"/>
      <c r="K130" s="107"/>
      <c r="L130" s="107"/>
      <c r="M130" s="107"/>
      <c r="N130" s="107"/>
      <c r="O130" s="107"/>
      <c r="P130" s="107"/>
      <c r="Q130" s="107"/>
      <c r="R130" s="8"/>
      <c r="S130" s="8"/>
      <c r="T130" s="8"/>
      <c r="U130" s="8"/>
      <c r="V130" s="8"/>
      <c r="W130" s="8"/>
      <c r="X130" s="8"/>
    </row>
    <row r="131" spans="1:24" ht="15.75" customHeight="1">
      <c r="A131" s="36"/>
      <c r="B131" s="36"/>
      <c r="C131" s="36"/>
      <c r="D131" s="110"/>
      <c r="E131" s="110"/>
      <c r="F131" s="110"/>
      <c r="G131" s="36"/>
      <c r="H131" s="107"/>
      <c r="I131" s="107"/>
      <c r="J131" s="107"/>
      <c r="K131" s="107"/>
      <c r="L131" s="107"/>
      <c r="M131" s="107"/>
      <c r="N131" s="107"/>
      <c r="O131" s="107"/>
      <c r="P131" s="107"/>
      <c r="Q131" s="107"/>
      <c r="R131" s="8"/>
      <c r="S131" s="8"/>
      <c r="T131" s="8"/>
      <c r="U131" s="8"/>
      <c r="V131" s="8"/>
      <c r="W131" s="8"/>
      <c r="X131" s="8"/>
    </row>
    <row r="132" spans="1:24" ht="15.75" customHeight="1">
      <c r="A132" s="36"/>
      <c r="B132" s="36"/>
      <c r="C132" s="36"/>
      <c r="D132" s="110"/>
      <c r="E132" s="110"/>
      <c r="F132" s="110"/>
      <c r="G132" s="36"/>
      <c r="H132" s="107"/>
      <c r="I132" s="107"/>
      <c r="J132" s="107"/>
      <c r="K132" s="107"/>
      <c r="L132" s="107"/>
      <c r="M132" s="107"/>
      <c r="N132" s="107"/>
      <c r="O132" s="107"/>
      <c r="P132" s="107"/>
      <c r="Q132" s="107"/>
      <c r="R132" s="8"/>
      <c r="S132" s="8"/>
      <c r="T132" s="8"/>
      <c r="U132" s="8"/>
      <c r="V132" s="8"/>
      <c r="W132" s="8"/>
      <c r="X132" s="8"/>
    </row>
    <row r="133" spans="1:24" ht="15.75" customHeight="1">
      <c r="A133" s="36"/>
      <c r="B133" s="36"/>
      <c r="C133" s="36"/>
      <c r="D133" s="110"/>
      <c r="E133" s="110"/>
      <c r="F133" s="110"/>
      <c r="G133" s="36"/>
      <c r="H133" s="107"/>
      <c r="I133" s="107"/>
      <c r="J133" s="107"/>
      <c r="K133" s="107"/>
      <c r="L133" s="107"/>
      <c r="M133" s="107"/>
      <c r="N133" s="107"/>
      <c r="O133" s="107"/>
      <c r="P133" s="107"/>
      <c r="Q133" s="107"/>
      <c r="R133" s="8"/>
      <c r="S133" s="8"/>
      <c r="T133" s="8"/>
      <c r="U133" s="8"/>
      <c r="V133" s="8"/>
      <c r="W133" s="8"/>
      <c r="X133" s="8"/>
    </row>
    <row r="134" spans="1:24" ht="15.75" customHeight="1">
      <c r="A134" s="36"/>
      <c r="B134" s="36"/>
      <c r="C134" s="36"/>
      <c r="D134" s="110"/>
      <c r="E134" s="110"/>
      <c r="F134" s="110"/>
      <c r="G134" s="36"/>
      <c r="H134" s="107"/>
      <c r="I134" s="107"/>
      <c r="J134" s="107"/>
      <c r="K134" s="107"/>
      <c r="L134" s="107"/>
      <c r="M134" s="107"/>
      <c r="N134" s="107"/>
      <c r="O134" s="107"/>
      <c r="P134" s="107"/>
      <c r="Q134" s="107"/>
      <c r="R134" s="8"/>
      <c r="S134" s="8"/>
      <c r="T134" s="8"/>
      <c r="U134" s="8"/>
      <c r="V134" s="8"/>
      <c r="W134" s="8"/>
      <c r="X134" s="8"/>
    </row>
    <row r="135" spans="1:24" ht="15.75" customHeight="1">
      <c r="A135" s="36"/>
      <c r="B135" s="36"/>
      <c r="C135" s="36"/>
      <c r="D135" s="110"/>
      <c r="E135" s="110"/>
      <c r="F135" s="110"/>
      <c r="G135" s="36"/>
      <c r="H135" s="107"/>
      <c r="I135" s="107"/>
      <c r="J135" s="107"/>
      <c r="K135" s="107"/>
      <c r="L135" s="107"/>
      <c r="M135" s="107"/>
      <c r="N135" s="107"/>
      <c r="O135" s="107"/>
      <c r="P135" s="107"/>
      <c r="Q135" s="107"/>
      <c r="R135" s="8"/>
      <c r="S135" s="8"/>
      <c r="T135" s="8"/>
      <c r="U135" s="8"/>
      <c r="V135" s="8"/>
      <c r="W135" s="8"/>
      <c r="X135" s="8"/>
    </row>
    <row r="136" spans="1:24" ht="15.75" customHeight="1">
      <c r="A136" s="36"/>
      <c r="B136" s="36"/>
      <c r="C136" s="36"/>
      <c r="D136" s="110"/>
      <c r="E136" s="110"/>
      <c r="F136" s="110"/>
      <c r="G136" s="36"/>
      <c r="H136" s="107"/>
      <c r="I136" s="107"/>
      <c r="J136" s="107"/>
      <c r="K136" s="107"/>
      <c r="L136" s="107"/>
      <c r="M136" s="107"/>
      <c r="N136" s="107"/>
      <c r="O136" s="107"/>
      <c r="P136" s="107"/>
      <c r="Q136" s="107"/>
      <c r="R136" s="8"/>
      <c r="S136" s="8"/>
      <c r="T136" s="8"/>
      <c r="U136" s="8"/>
      <c r="V136" s="8"/>
      <c r="W136" s="8"/>
      <c r="X136" s="8"/>
    </row>
    <row r="137" spans="1:24" ht="15.75" customHeight="1">
      <c r="A137" s="36"/>
      <c r="B137" s="36"/>
      <c r="C137" s="36"/>
      <c r="D137" s="110"/>
      <c r="E137" s="110"/>
      <c r="F137" s="110"/>
      <c r="G137" s="36"/>
      <c r="H137" s="107"/>
      <c r="I137" s="107"/>
      <c r="J137" s="107"/>
      <c r="K137" s="107"/>
      <c r="L137" s="107"/>
      <c r="M137" s="107"/>
      <c r="N137" s="107"/>
      <c r="O137" s="107"/>
      <c r="P137" s="107"/>
      <c r="Q137" s="107"/>
      <c r="R137" s="8"/>
      <c r="S137" s="8"/>
      <c r="T137" s="8"/>
      <c r="U137" s="8"/>
      <c r="V137" s="8"/>
      <c r="W137" s="8"/>
      <c r="X137" s="8"/>
    </row>
    <row r="138" spans="1:24" ht="15.75" customHeight="1">
      <c r="A138" s="36"/>
      <c r="B138" s="36"/>
      <c r="C138" s="36"/>
      <c r="D138" s="110"/>
      <c r="E138" s="110"/>
      <c r="F138" s="110"/>
      <c r="G138" s="36"/>
      <c r="H138" s="107"/>
      <c r="I138" s="107"/>
      <c r="J138" s="107"/>
      <c r="K138" s="107"/>
      <c r="L138" s="107"/>
      <c r="M138" s="107"/>
      <c r="N138" s="107"/>
      <c r="O138" s="107"/>
      <c r="P138" s="107"/>
      <c r="Q138" s="107"/>
      <c r="R138" s="8"/>
      <c r="S138" s="8"/>
      <c r="T138" s="8"/>
      <c r="U138" s="8"/>
      <c r="V138" s="8"/>
      <c r="W138" s="8"/>
      <c r="X138" s="8"/>
    </row>
    <row r="139" spans="1:24" ht="15.75" customHeight="1">
      <c r="A139" s="36"/>
      <c r="B139" s="36"/>
      <c r="C139" s="36"/>
      <c r="D139" s="110"/>
      <c r="E139" s="110"/>
      <c r="F139" s="110"/>
      <c r="G139" s="36"/>
      <c r="H139" s="107"/>
      <c r="I139" s="107"/>
      <c r="J139" s="107"/>
      <c r="K139" s="107"/>
      <c r="L139" s="107"/>
      <c r="M139" s="107"/>
      <c r="N139" s="107"/>
      <c r="O139" s="107"/>
      <c r="P139" s="107"/>
      <c r="Q139" s="107"/>
      <c r="R139" s="8"/>
      <c r="S139" s="8"/>
      <c r="T139" s="8"/>
      <c r="U139" s="8"/>
      <c r="V139" s="8"/>
      <c r="W139" s="8"/>
      <c r="X139" s="8"/>
    </row>
    <row r="140" spans="1:24" ht="15.75" customHeight="1">
      <c r="A140" s="36"/>
      <c r="B140" s="36"/>
      <c r="C140" s="36"/>
      <c r="D140" s="110"/>
      <c r="E140" s="110"/>
      <c r="F140" s="110"/>
      <c r="G140" s="36"/>
      <c r="H140" s="107"/>
      <c r="I140" s="107"/>
      <c r="J140" s="107"/>
      <c r="K140" s="107"/>
      <c r="L140" s="107"/>
      <c r="M140" s="107"/>
      <c r="N140" s="107"/>
      <c r="O140" s="107"/>
      <c r="P140" s="107"/>
      <c r="Q140" s="107"/>
      <c r="R140" s="8"/>
      <c r="S140" s="8"/>
      <c r="T140" s="8"/>
      <c r="U140" s="8"/>
      <c r="V140" s="8"/>
      <c r="W140" s="8"/>
      <c r="X140" s="8"/>
    </row>
    <row r="141" spans="1:24" ht="15.75" customHeight="1">
      <c r="A141" s="36"/>
      <c r="B141" s="36"/>
      <c r="C141" s="36"/>
      <c r="D141" s="110"/>
      <c r="E141" s="110"/>
      <c r="F141" s="110"/>
      <c r="G141" s="36"/>
      <c r="H141" s="107"/>
      <c r="I141" s="107"/>
      <c r="J141" s="107"/>
      <c r="K141" s="107"/>
      <c r="L141" s="107"/>
      <c r="M141" s="107"/>
      <c r="N141" s="107"/>
      <c r="O141" s="107"/>
      <c r="P141" s="107"/>
      <c r="Q141" s="107"/>
      <c r="R141" s="8"/>
      <c r="S141" s="8"/>
      <c r="T141" s="8"/>
      <c r="U141" s="8"/>
      <c r="V141" s="8"/>
      <c r="W141" s="8"/>
      <c r="X141" s="8"/>
    </row>
    <row r="142" spans="1:24" ht="15.75" customHeight="1">
      <c r="A142" s="36"/>
      <c r="B142" s="36"/>
      <c r="C142" s="36"/>
      <c r="D142" s="110"/>
      <c r="E142" s="110"/>
      <c r="F142" s="110"/>
      <c r="G142" s="36"/>
      <c r="H142" s="107"/>
      <c r="I142" s="107"/>
      <c r="J142" s="107"/>
      <c r="K142" s="107"/>
      <c r="L142" s="107"/>
      <c r="M142" s="107"/>
      <c r="N142" s="107"/>
      <c r="O142" s="107"/>
      <c r="P142" s="107"/>
      <c r="Q142" s="107"/>
      <c r="R142" s="8"/>
      <c r="S142" s="8"/>
      <c r="T142" s="8"/>
      <c r="U142" s="8"/>
      <c r="V142" s="8"/>
      <c r="W142" s="8"/>
      <c r="X142" s="8"/>
    </row>
    <row r="143" spans="1:24" ht="15.75" customHeight="1">
      <c r="A143" s="36"/>
      <c r="B143" s="36"/>
      <c r="C143" s="36"/>
      <c r="D143" s="110"/>
      <c r="E143" s="110"/>
      <c r="F143" s="110"/>
      <c r="G143" s="36"/>
      <c r="H143" s="107"/>
      <c r="I143" s="107"/>
      <c r="J143" s="107"/>
      <c r="K143" s="107"/>
      <c r="L143" s="107"/>
      <c r="M143" s="107"/>
      <c r="N143" s="107"/>
      <c r="O143" s="107"/>
      <c r="P143" s="107"/>
      <c r="Q143" s="107"/>
      <c r="R143" s="8"/>
      <c r="S143" s="8"/>
      <c r="T143" s="8"/>
      <c r="U143" s="8"/>
      <c r="V143" s="8"/>
      <c r="W143" s="8"/>
      <c r="X143" s="8"/>
    </row>
    <row r="144" spans="1:24" ht="15.75" customHeight="1">
      <c r="A144" s="36"/>
      <c r="B144" s="36"/>
      <c r="C144" s="36"/>
      <c r="D144" s="110"/>
      <c r="E144" s="110"/>
      <c r="F144" s="110"/>
      <c r="G144" s="36"/>
      <c r="H144" s="107"/>
      <c r="I144" s="107"/>
      <c r="J144" s="107"/>
      <c r="K144" s="107"/>
      <c r="L144" s="107"/>
      <c r="M144" s="107"/>
      <c r="N144" s="107"/>
      <c r="O144" s="107"/>
      <c r="P144" s="107"/>
      <c r="Q144" s="107"/>
      <c r="R144" s="8"/>
      <c r="S144" s="8"/>
      <c r="T144" s="8"/>
      <c r="U144" s="8"/>
      <c r="V144" s="8"/>
      <c r="W144" s="8"/>
      <c r="X144" s="8"/>
    </row>
    <row r="145" spans="1:24" ht="15.75" customHeight="1">
      <c r="A145" s="36"/>
      <c r="B145" s="36"/>
      <c r="C145" s="36"/>
      <c r="D145" s="110"/>
      <c r="E145" s="110"/>
      <c r="F145" s="110"/>
      <c r="G145" s="36"/>
      <c r="H145" s="107"/>
      <c r="I145" s="107"/>
      <c r="J145" s="107"/>
      <c r="K145" s="107"/>
      <c r="L145" s="107"/>
      <c r="M145" s="107"/>
      <c r="N145" s="107"/>
      <c r="O145" s="107"/>
      <c r="P145" s="107"/>
      <c r="Q145" s="107"/>
      <c r="R145" s="8"/>
      <c r="S145" s="8"/>
      <c r="T145" s="8"/>
      <c r="U145" s="8"/>
      <c r="V145" s="8"/>
      <c r="W145" s="8"/>
      <c r="X145" s="8"/>
    </row>
    <row r="146" spans="1:24" ht="15.75" customHeight="1">
      <c r="A146" s="36"/>
      <c r="B146" s="36"/>
      <c r="C146" s="36"/>
      <c r="D146" s="110"/>
      <c r="E146" s="110"/>
      <c r="F146" s="110"/>
      <c r="G146" s="36"/>
      <c r="H146" s="107"/>
      <c r="I146" s="107"/>
      <c r="J146" s="107"/>
      <c r="K146" s="107"/>
      <c r="L146" s="107"/>
      <c r="M146" s="107"/>
      <c r="N146" s="107"/>
      <c r="O146" s="107"/>
      <c r="P146" s="107"/>
      <c r="Q146" s="107"/>
      <c r="R146" s="8"/>
      <c r="S146" s="8"/>
      <c r="T146" s="8"/>
      <c r="U146" s="8"/>
      <c r="V146" s="8"/>
      <c r="W146" s="8"/>
      <c r="X146" s="8"/>
    </row>
    <row r="147" spans="1:24" ht="15.75" customHeight="1">
      <c r="A147" s="36"/>
      <c r="B147" s="36"/>
      <c r="C147" s="36"/>
      <c r="D147" s="110"/>
      <c r="E147" s="110"/>
      <c r="F147" s="110"/>
      <c r="G147" s="36"/>
      <c r="H147" s="107"/>
      <c r="I147" s="107"/>
      <c r="J147" s="107"/>
      <c r="K147" s="107"/>
      <c r="L147" s="107"/>
      <c r="M147" s="107"/>
      <c r="N147" s="107"/>
      <c r="O147" s="107"/>
      <c r="P147" s="107"/>
      <c r="Q147" s="107"/>
      <c r="R147" s="8"/>
      <c r="S147" s="8"/>
      <c r="T147" s="8"/>
      <c r="U147" s="8"/>
      <c r="V147" s="8"/>
      <c r="W147" s="8"/>
      <c r="X147" s="8"/>
    </row>
    <row r="148" spans="1:24" ht="15.75" customHeight="1">
      <c r="A148" s="36"/>
      <c r="B148" s="36"/>
      <c r="C148" s="36"/>
      <c r="D148" s="110"/>
      <c r="E148" s="110"/>
      <c r="F148" s="110"/>
      <c r="G148" s="36"/>
      <c r="H148" s="107"/>
      <c r="I148" s="107"/>
      <c r="J148" s="107"/>
      <c r="K148" s="107"/>
      <c r="L148" s="107"/>
      <c r="M148" s="107"/>
      <c r="N148" s="107"/>
      <c r="O148" s="107"/>
      <c r="P148" s="107"/>
      <c r="Q148" s="107"/>
      <c r="R148" s="8"/>
      <c r="S148" s="8"/>
      <c r="T148" s="8"/>
      <c r="U148" s="8"/>
      <c r="V148" s="8"/>
      <c r="W148" s="8"/>
      <c r="X148" s="8"/>
    </row>
    <row r="149" spans="1:24" ht="15.75" customHeight="1">
      <c r="A149" s="36"/>
      <c r="B149" s="36"/>
      <c r="C149" s="36"/>
      <c r="D149" s="110"/>
      <c r="E149" s="110"/>
      <c r="F149" s="110"/>
      <c r="G149" s="36"/>
      <c r="H149" s="107"/>
      <c r="I149" s="107"/>
      <c r="J149" s="107"/>
      <c r="K149" s="107"/>
      <c r="L149" s="107"/>
      <c r="M149" s="107"/>
      <c r="N149" s="107"/>
      <c r="O149" s="107"/>
      <c r="P149" s="107"/>
      <c r="Q149" s="107"/>
      <c r="R149" s="8"/>
      <c r="S149" s="8"/>
      <c r="T149" s="8"/>
      <c r="U149" s="8"/>
      <c r="V149" s="8"/>
      <c r="W149" s="8"/>
      <c r="X149" s="8"/>
    </row>
    <row r="150" spans="1:24" ht="15.75" customHeight="1">
      <c r="A150" s="36"/>
      <c r="B150" s="36"/>
      <c r="C150" s="36"/>
      <c r="D150" s="110"/>
      <c r="E150" s="110"/>
      <c r="F150" s="110"/>
      <c r="G150" s="36"/>
      <c r="H150" s="107"/>
      <c r="I150" s="107"/>
      <c r="J150" s="107"/>
      <c r="K150" s="107"/>
      <c r="L150" s="107"/>
      <c r="M150" s="107"/>
      <c r="N150" s="107"/>
      <c r="O150" s="107"/>
      <c r="P150" s="107"/>
      <c r="Q150" s="107"/>
      <c r="R150" s="8"/>
      <c r="S150" s="8"/>
      <c r="T150" s="8"/>
      <c r="U150" s="8"/>
      <c r="V150" s="8"/>
      <c r="W150" s="8"/>
      <c r="X150" s="8"/>
    </row>
    <row r="151" spans="1:24" ht="15.75" customHeight="1">
      <c r="A151" s="36"/>
      <c r="B151" s="36"/>
      <c r="C151" s="36"/>
      <c r="D151" s="110"/>
      <c r="E151" s="110"/>
      <c r="F151" s="110"/>
      <c r="G151" s="36"/>
      <c r="H151" s="107"/>
      <c r="I151" s="107"/>
      <c r="J151" s="107"/>
      <c r="K151" s="107"/>
      <c r="L151" s="107"/>
      <c r="M151" s="107"/>
      <c r="N151" s="107"/>
      <c r="O151" s="107"/>
      <c r="P151" s="107"/>
      <c r="Q151" s="107"/>
      <c r="R151" s="8"/>
      <c r="S151" s="8"/>
      <c r="T151" s="8"/>
      <c r="U151" s="8"/>
      <c r="V151" s="8"/>
      <c r="W151" s="8"/>
      <c r="X151" s="8"/>
    </row>
    <row r="152" spans="1:24" ht="15.75" customHeight="1">
      <c r="A152" s="36"/>
      <c r="B152" s="36"/>
      <c r="C152" s="36"/>
      <c r="D152" s="110"/>
      <c r="E152" s="110"/>
      <c r="F152" s="110"/>
      <c r="G152" s="36"/>
      <c r="H152" s="107"/>
      <c r="I152" s="107"/>
      <c r="J152" s="107"/>
      <c r="K152" s="107"/>
      <c r="L152" s="107"/>
      <c r="M152" s="107"/>
      <c r="N152" s="107"/>
      <c r="O152" s="107"/>
      <c r="P152" s="107"/>
      <c r="Q152" s="107"/>
      <c r="R152" s="8"/>
      <c r="S152" s="8"/>
      <c r="T152" s="8"/>
      <c r="U152" s="8"/>
      <c r="V152" s="8"/>
      <c r="W152" s="8"/>
      <c r="X152" s="8"/>
    </row>
    <row r="153" spans="1:24" ht="15.75" customHeight="1">
      <c r="A153" s="36"/>
      <c r="B153" s="36"/>
      <c r="C153" s="36"/>
      <c r="D153" s="110"/>
      <c r="E153" s="110"/>
      <c r="F153" s="110"/>
      <c r="G153" s="36"/>
      <c r="H153" s="107"/>
      <c r="I153" s="107"/>
      <c r="J153" s="107"/>
      <c r="K153" s="107"/>
      <c r="L153" s="107"/>
      <c r="M153" s="107"/>
      <c r="N153" s="107"/>
      <c r="O153" s="107"/>
      <c r="P153" s="107"/>
      <c r="Q153" s="107"/>
      <c r="R153" s="8"/>
      <c r="S153" s="8"/>
      <c r="T153" s="8"/>
      <c r="U153" s="8"/>
      <c r="V153" s="8"/>
      <c r="W153" s="8"/>
      <c r="X153" s="8"/>
    </row>
    <row r="154" spans="1:24" ht="15.75" customHeight="1">
      <c r="A154" s="36"/>
      <c r="B154" s="36"/>
      <c r="C154" s="36"/>
      <c r="D154" s="110"/>
      <c r="E154" s="110"/>
      <c r="F154" s="110"/>
      <c r="G154" s="36"/>
      <c r="H154" s="107"/>
      <c r="I154" s="107"/>
      <c r="J154" s="107"/>
      <c r="K154" s="107"/>
      <c r="L154" s="107"/>
      <c r="M154" s="107"/>
      <c r="N154" s="107"/>
      <c r="O154" s="107"/>
      <c r="P154" s="107"/>
      <c r="Q154" s="107"/>
      <c r="R154" s="8"/>
      <c r="S154" s="8"/>
      <c r="T154" s="8"/>
      <c r="U154" s="8"/>
      <c r="V154" s="8"/>
      <c r="W154" s="8"/>
      <c r="X154" s="8"/>
    </row>
    <row r="155" spans="1:24" ht="15.75" customHeight="1">
      <c r="A155" s="36"/>
      <c r="B155" s="36"/>
      <c r="C155" s="36"/>
      <c r="D155" s="110"/>
      <c r="E155" s="110"/>
      <c r="F155" s="110"/>
      <c r="G155" s="36"/>
      <c r="H155" s="107"/>
      <c r="I155" s="107"/>
      <c r="J155" s="107"/>
      <c r="K155" s="107"/>
      <c r="L155" s="107"/>
      <c r="M155" s="107"/>
      <c r="N155" s="107"/>
      <c r="O155" s="107"/>
      <c r="P155" s="107"/>
      <c r="Q155" s="107"/>
      <c r="R155" s="8"/>
      <c r="S155" s="8"/>
      <c r="T155" s="8"/>
      <c r="U155" s="8"/>
      <c r="V155" s="8"/>
      <c r="W155" s="8"/>
      <c r="X155" s="8"/>
    </row>
    <row r="156" spans="1:24" ht="15.75" customHeight="1">
      <c r="A156" s="36"/>
      <c r="B156" s="36"/>
      <c r="C156" s="36"/>
      <c r="D156" s="110"/>
      <c r="E156" s="110"/>
      <c r="F156" s="110"/>
      <c r="G156" s="36"/>
      <c r="H156" s="107"/>
      <c r="I156" s="107"/>
      <c r="J156" s="107"/>
      <c r="K156" s="107"/>
      <c r="L156" s="107"/>
      <c r="M156" s="107"/>
      <c r="N156" s="107"/>
      <c r="O156" s="107"/>
      <c r="P156" s="107"/>
      <c r="Q156" s="107"/>
      <c r="R156" s="8"/>
      <c r="S156" s="8"/>
      <c r="T156" s="8"/>
      <c r="U156" s="8"/>
      <c r="V156" s="8"/>
      <c r="W156" s="8"/>
      <c r="X156" s="8"/>
    </row>
    <row r="157" spans="1:24" ht="15.75" customHeight="1">
      <c r="A157" s="36"/>
      <c r="B157" s="36"/>
      <c r="C157" s="36"/>
      <c r="D157" s="110"/>
      <c r="E157" s="110"/>
      <c r="F157" s="110"/>
      <c r="G157" s="36"/>
      <c r="H157" s="107"/>
      <c r="I157" s="107"/>
      <c r="J157" s="107"/>
      <c r="K157" s="107"/>
      <c r="L157" s="107"/>
      <c r="M157" s="107"/>
      <c r="N157" s="107"/>
      <c r="O157" s="107"/>
      <c r="P157" s="107"/>
      <c r="Q157" s="107"/>
      <c r="R157" s="8"/>
      <c r="S157" s="8"/>
      <c r="T157" s="8"/>
      <c r="U157" s="8"/>
      <c r="V157" s="8"/>
      <c r="W157" s="8"/>
      <c r="X157" s="8"/>
    </row>
    <row r="158" spans="1:24" ht="15.75" customHeight="1">
      <c r="A158" s="36"/>
      <c r="B158" s="36"/>
      <c r="C158" s="36"/>
      <c r="D158" s="110"/>
      <c r="E158" s="110"/>
      <c r="F158" s="110"/>
      <c r="G158" s="36"/>
      <c r="H158" s="107"/>
      <c r="I158" s="107"/>
      <c r="J158" s="107"/>
      <c r="K158" s="107"/>
      <c r="L158" s="107"/>
      <c r="M158" s="107"/>
      <c r="N158" s="107"/>
      <c r="O158" s="107"/>
      <c r="P158" s="107"/>
      <c r="Q158" s="107"/>
      <c r="R158" s="8"/>
      <c r="S158" s="8"/>
      <c r="T158" s="8"/>
      <c r="U158" s="8"/>
      <c r="V158" s="8"/>
      <c r="W158" s="8"/>
      <c r="X158" s="8"/>
    </row>
    <row r="159" spans="1:24" ht="15.75" customHeight="1">
      <c r="A159" s="36"/>
      <c r="B159" s="36"/>
      <c r="C159" s="36"/>
      <c r="D159" s="110"/>
      <c r="E159" s="110"/>
      <c r="F159" s="110"/>
      <c r="G159" s="36"/>
      <c r="H159" s="107"/>
      <c r="I159" s="107"/>
      <c r="J159" s="107"/>
      <c r="K159" s="107"/>
      <c r="L159" s="107"/>
      <c r="M159" s="107"/>
      <c r="N159" s="107"/>
      <c r="O159" s="107"/>
      <c r="P159" s="107"/>
      <c r="Q159" s="107"/>
      <c r="R159" s="8"/>
      <c r="S159" s="8"/>
      <c r="T159" s="8"/>
      <c r="U159" s="8"/>
      <c r="V159" s="8"/>
      <c r="W159" s="8"/>
      <c r="X159" s="8"/>
    </row>
    <row r="160" spans="1:24" ht="15.75" customHeight="1">
      <c r="A160" s="36"/>
      <c r="B160" s="36"/>
      <c r="C160" s="36"/>
      <c r="D160" s="110"/>
      <c r="E160" s="110"/>
      <c r="F160" s="110"/>
      <c r="G160" s="36"/>
      <c r="H160" s="107"/>
      <c r="I160" s="107"/>
      <c r="J160" s="107"/>
      <c r="K160" s="107"/>
      <c r="L160" s="107"/>
      <c r="M160" s="107"/>
      <c r="N160" s="107"/>
      <c r="O160" s="107"/>
      <c r="P160" s="107"/>
      <c r="Q160" s="107"/>
      <c r="R160" s="8"/>
      <c r="S160" s="8"/>
      <c r="T160" s="8"/>
      <c r="U160" s="8"/>
      <c r="V160" s="8"/>
      <c r="W160" s="8"/>
      <c r="X160" s="8"/>
    </row>
    <row r="161" spans="1:24" ht="15.75" customHeight="1">
      <c r="A161" s="36"/>
      <c r="B161" s="36"/>
      <c r="C161" s="36"/>
      <c r="D161" s="110"/>
      <c r="E161" s="110"/>
      <c r="F161" s="110"/>
      <c r="G161" s="36"/>
      <c r="H161" s="107"/>
      <c r="I161" s="107"/>
      <c r="J161" s="107"/>
      <c r="K161" s="107"/>
      <c r="L161" s="107"/>
      <c r="M161" s="107"/>
      <c r="N161" s="107"/>
      <c r="O161" s="107"/>
      <c r="P161" s="107"/>
      <c r="Q161" s="107"/>
      <c r="R161" s="8"/>
      <c r="S161" s="8"/>
      <c r="T161" s="8"/>
      <c r="U161" s="8"/>
      <c r="V161" s="8"/>
      <c r="W161" s="8"/>
      <c r="X161" s="8"/>
    </row>
    <row r="162" spans="1:24" ht="15.75" customHeight="1">
      <c r="A162" s="36"/>
      <c r="B162" s="36"/>
      <c r="C162" s="36"/>
      <c r="D162" s="110"/>
      <c r="E162" s="110"/>
      <c r="F162" s="110"/>
      <c r="G162" s="36"/>
      <c r="H162" s="107"/>
      <c r="I162" s="107"/>
      <c r="J162" s="107"/>
      <c r="K162" s="107"/>
      <c r="L162" s="107"/>
      <c r="M162" s="107"/>
      <c r="N162" s="107"/>
      <c r="O162" s="107"/>
      <c r="P162" s="107"/>
      <c r="Q162" s="107"/>
      <c r="R162" s="8"/>
      <c r="S162" s="8"/>
      <c r="T162" s="8"/>
      <c r="U162" s="8"/>
      <c r="V162" s="8"/>
      <c r="W162" s="8"/>
      <c r="X162" s="8"/>
    </row>
    <row r="163" spans="1:24" ht="15.75" customHeight="1">
      <c r="A163" s="36"/>
      <c r="B163" s="36"/>
      <c r="C163" s="36"/>
      <c r="D163" s="110"/>
      <c r="E163" s="110"/>
      <c r="F163" s="110"/>
      <c r="G163" s="36"/>
      <c r="H163" s="107"/>
      <c r="I163" s="107"/>
      <c r="J163" s="107"/>
      <c r="K163" s="107"/>
      <c r="L163" s="107"/>
      <c r="M163" s="107"/>
      <c r="N163" s="107"/>
      <c r="O163" s="107"/>
      <c r="P163" s="107"/>
      <c r="Q163" s="107"/>
      <c r="R163" s="8"/>
      <c r="S163" s="8"/>
      <c r="T163" s="8"/>
      <c r="U163" s="8"/>
      <c r="V163" s="8"/>
      <c r="W163" s="8"/>
      <c r="X163" s="8"/>
    </row>
    <row r="164" spans="1:24" ht="15.75" customHeight="1">
      <c r="A164" s="36"/>
      <c r="B164" s="36"/>
      <c r="C164" s="36"/>
      <c r="D164" s="110"/>
      <c r="E164" s="110"/>
      <c r="F164" s="110"/>
      <c r="G164" s="36"/>
      <c r="H164" s="107"/>
      <c r="I164" s="107"/>
      <c r="J164" s="107"/>
      <c r="K164" s="107"/>
      <c r="L164" s="107"/>
      <c r="M164" s="107"/>
      <c r="N164" s="107"/>
      <c r="O164" s="107"/>
      <c r="P164" s="107"/>
      <c r="Q164" s="107"/>
      <c r="R164" s="8"/>
      <c r="S164" s="8"/>
      <c r="T164" s="8"/>
      <c r="U164" s="8"/>
      <c r="V164" s="8"/>
      <c r="W164" s="8"/>
      <c r="X164" s="8"/>
    </row>
    <row r="165" spans="1:24" ht="15.75" customHeight="1">
      <c r="A165" s="36"/>
      <c r="B165" s="36"/>
      <c r="C165" s="36"/>
      <c r="D165" s="110"/>
      <c r="E165" s="110"/>
      <c r="F165" s="110"/>
      <c r="G165" s="36"/>
      <c r="H165" s="107"/>
      <c r="I165" s="107"/>
      <c r="J165" s="107"/>
      <c r="K165" s="107"/>
      <c r="L165" s="107"/>
      <c r="M165" s="107"/>
      <c r="N165" s="107"/>
      <c r="O165" s="107"/>
      <c r="P165" s="107"/>
      <c r="Q165" s="107"/>
      <c r="R165" s="8"/>
      <c r="S165" s="8"/>
      <c r="T165" s="8"/>
      <c r="U165" s="8"/>
      <c r="V165" s="8"/>
      <c r="W165" s="8"/>
      <c r="X165" s="8"/>
    </row>
    <row r="166" spans="1:24" ht="15.75" customHeight="1">
      <c r="A166" s="36"/>
      <c r="B166" s="36"/>
      <c r="C166" s="36"/>
      <c r="D166" s="110"/>
      <c r="E166" s="110"/>
      <c r="F166" s="110"/>
      <c r="G166" s="36"/>
      <c r="H166" s="107"/>
      <c r="I166" s="107"/>
      <c r="J166" s="107"/>
      <c r="K166" s="107"/>
      <c r="L166" s="107"/>
      <c r="M166" s="107"/>
      <c r="N166" s="107"/>
      <c r="O166" s="107"/>
      <c r="P166" s="107"/>
      <c r="Q166" s="107"/>
      <c r="R166" s="8"/>
      <c r="S166" s="8"/>
      <c r="T166" s="8"/>
      <c r="U166" s="8"/>
      <c r="V166" s="8"/>
      <c r="W166" s="8"/>
      <c r="X166" s="8"/>
    </row>
    <row r="167" spans="1:24" ht="15.75" customHeight="1">
      <c r="A167" s="36"/>
      <c r="B167" s="36"/>
      <c r="C167" s="36"/>
      <c r="D167" s="110"/>
      <c r="E167" s="110"/>
      <c r="F167" s="110"/>
      <c r="G167" s="36"/>
      <c r="H167" s="107"/>
      <c r="I167" s="107"/>
      <c r="J167" s="107"/>
      <c r="K167" s="107"/>
      <c r="L167" s="107"/>
      <c r="M167" s="107"/>
      <c r="N167" s="107"/>
      <c r="O167" s="107"/>
      <c r="P167" s="107"/>
      <c r="Q167" s="107"/>
      <c r="R167" s="8"/>
      <c r="S167" s="8"/>
      <c r="T167" s="8"/>
      <c r="U167" s="8"/>
      <c r="V167" s="8"/>
      <c r="W167" s="8"/>
      <c r="X167" s="8"/>
    </row>
    <row r="168" spans="1:24" ht="15.75" customHeight="1">
      <c r="A168" s="36"/>
      <c r="B168" s="36"/>
      <c r="C168" s="36"/>
      <c r="D168" s="110"/>
      <c r="E168" s="110"/>
      <c r="F168" s="110"/>
      <c r="G168" s="36"/>
      <c r="H168" s="107"/>
      <c r="I168" s="107"/>
      <c r="J168" s="107"/>
      <c r="K168" s="107"/>
      <c r="L168" s="107"/>
      <c r="M168" s="107"/>
      <c r="N168" s="107"/>
      <c r="O168" s="107"/>
      <c r="P168" s="107"/>
      <c r="Q168" s="107"/>
      <c r="R168" s="8"/>
      <c r="S168" s="8"/>
      <c r="T168" s="8"/>
      <c r="U168" s="8"/>
      <c r="V168" s="8"/>
      <c r="W168" s="8"/>
      <c r="X168" s="8"/>
    </row>
    <row r="169" spans="1:24" ht="15.75" customHeight="1">
      <c r="A169" s="36"/>
      <c r="B169" s="36"/>
      <c r="C169" s="36"/>
      <c r="D169" s="110"/>
      <c r="E169" s="110"/>
      <c r="F169" s="110"/>
      <c r="G169" s="36"/>
      <c r="H169" s="107"/>
      <c r="I169" s="107"/>
      <c r="J169" s="107"/>
      <c r="K169" s="107"/>
      <c r="L169" s="107"/>
      <c r="M169" s="107"/>
      <c r="N169" s="107"/>
      <c r="O169" s="107"/>
      <c r="P169" s="107"/>
      <c r="Q169" s="107"/>
      <c r="R169" s="8"/>
      <c r="S169" s="8"/>
      <c r="T169" s="8"/>
      <c r="U169" s="8"/>
      <c r="V169" s="8"/>
      <c r="W169" s="8"/>
      <c r="X169" s="8"/>
    </row>
    <row r="170" spans="1:24" ht="15.75" customHeight="1">
      <c r="A170" s="36"/>
      <c r="B170" s="36"/>
      <c r="C170" s="36"/>
      <c r="D170" s="110"/>
      <c r="E170" s="110"/>
      <c r="F170" s="110"/>
      <c r="G170" s="36"/>
      <c r="H170" s="107"/>
      <c r="I170" s="107"/>
      <c r="J170" s="107"/>
      <c r="K170" s="107"/>
      <c r="L170" s="107"/>
      <c r="M170" s="107"/>
      <c r="N170" s="107"/>
      <c r="O170" s="107"/>
      <c r="P170" s="107"/>
      <c r="Q170" s="107"/>
      <c r="R170" s="8"/>
      <c r="S170" s="8"/>
      <c r="T170" s="8"/>
      <c r="U170" s="8"/>
      <c r="V170" s="8"/>
      <c r="W170" s="8"/>
      <c r="X170" s="8"/>
    </row>
    <row r="171" spans="1:24" ht="15.75" customHeight="1">
      <c r="A171" s="36"/>
      <c r="B171" s="36"/>
      <c r="C171" s="36"/>
      <c r="D171" s="110"/>
      <c r="E171" s="110"/>
      <c r="F171" s="110"/>
      <c r="G171" s="36"/>
      <c r="H171" s="107"/>
      <c r="I171" s="107"/>
      <c r="J171" s="107"/>
      <c r="K171" s="107"/>
      <c r="L171" s="107"/>
      <c r="M171" s="107"/>
      <c r="N171" s="107"/>
      <c r="O171" s="107"/>
      <c r="P171" s="107"/>
      <c r="Q171" s="107"/>
      <c r="R171" s="8"/>
      <c r="S171" s="8"/>
      <c r="T171" s="8"/>
      <c r="U171" s="8"/>
      <c r="V171" s="8"/>
      <c r="W171" s="8"/>
      <c r="X171" s="8"/>
    </row>
    <row r="172" spans="1:24" ht="15.75" customHeight="1">
      <c r="A172" s="36"/>
      <c r="B172" s="36"/>
      <c r="C172" s="36"/>
      <c r="D172" s="110"/>
      <c r="E172" s="110"/>
      <c r="F172" s="110"/>
      <c r="G172" s="36"/>
      <c r="H172" s="107"/>
      <c r="I172" s="107"/>
      <c r="J172" s="107"/>
      <c r="K172" s="107"/>
      <c r="L172" s="107"/>
      <c r="M172" s="107"/>
      <c r="N172" s="107"/>
      <c r="O172" s="107"/>
      <c r="P172" s="107"/>
      <c r="Q172" s="107"/>
      <c r="R172" s="8"/>
      <c r="S172" s="8"/>
      <c r="T172" s="8"/>
      <c r="U172" s="8"/>
      <c r="V172" s="8"/>
      <c r="W172" s="8"/>
      <c r="X172" s="8"/>
    </row>
    <row r="173" spans="1:24" ht="15.75" customHeight="1">
      <c r="A173" s="36"/>
      <c r="B173" s="36"/>
      <c r="C173" s="36"/>
      <c r="D173" s="110"/>
      <c r="E173" s="110"/>
      <c r="F173" s="110"/>
      <c r="G173" s="36"/>
      <c r="H173" s="107"/>
      <c r="I173" s="107"/>
      <c r="J173" s="107"/>
      <c r="K173" s="107"/>
      <c r="L173" s="107"/>
      <c r="M173" s="107"/>
      <c r="N173" s="107"/>
      <c r="O173" s="107"/>
      <c r="P173" s="107"/>
      <c r="Q173" s="107"/>
      <c r="R173" s="8"/>
      <c r="S173" s="8"/>
      <c r="T173" s="8"/>
      <c r="U173" s="8"/>
      <c r="V173" s="8"/>
      <c r="W173" s="8"/>
      <c r="X173" s="8"/>
    </row>
    <row r="174" spans="1:24" ht="15.75" customHeight="1">
      <c r="A174" s="36"/>
      <c r="B174" s="36"/>
      <c r="C174" s="36"/>
      <c r="D174" s="110"/>
      <c r="E174" s="110"/>
      <c r="F174" s="110"/>
      <c r="G174" s="36"/>
      <c r="H174" s="107"/>
      <c r="I174" s="107"/>
      <c r="J174" s="107"/>
      <c r="K174" s="107"/>
      <c r="L174" s="107"/>
      <c r="M174" s="107"/>
      <c r="N174" s="107"/>
      <c r="O174" s="107"/>
      <c r="P174" s="107"/>
      <c r="Q174" s="107"/>
      <c r="R174" s="8"/>
      <c r="S174" s="8"/>
      <c r="T174" s="8"/>
      <c r="U174" s="8"/>
      <c r="V174" s="8"/>
      <c r="W174" s="8"/>
      <c r="X174" s="8"/>
    </row>
    <row r="175" spans="1:24" ht="15.75" customHeight="1">
      <c r="A175" s="36"/>
      <c r="B175" s="36"/>
      <c r="C175" s="36"/>
      <c r="D175" s="110"/>
      <c r="E175" s="110"/>
      <c r="F175" s="110"/>
      <c r="G175" s="36"/>
      <c r="H175" s="107"/>
      <c r="I175" s="107"/>
      <c r="J175" s="107"/>
      <c r="K175" s="107"/>
      <c r="L175" s="107"/>
      <c r="M175" s="107"/>
      <c r="N175" s="107"/>
      <c r="O175" s="107"/>
      <c r="P175" s="107"/>
      <c r="Q175" s="107"/>
      <c r="R175" s="8"/>
      <c r="S175" s="8"/>
      <c r="T175" s="8"/>
      <c r="U175" s="8"/>
      <c r="V175" s="8"/>
      <c r="W175" s="8"/>
      <c r="X175" s="8"/>
    </row>
    <row r="176" spans="1:24" ht="15.75" customHeight="1">
      <c r="A176" s="36"/>
      <c r="B176" s="36"/>
      <c r="C176" s="36"/>
      <c r="D176" s="110"/>
      <c r="E176" s="110"/>
      <c r="F176" s="110"/>
      <c r="G176" s="36"/>
      <c r="H176" s="107"/>
      <c r="I176" s="107"/>
      <c r="J176" s="107"/>
      <c r="K176" s="107"/>
      <c r="L176" s="107"/>
      <c r="M176" s="107"/>
      <c r="N176" s="107"/>
      <c r="O176" s="107"/>
      <c r="P176" s="107"/>
      <c r="Q176" s="107"/>
      <c r="R176" s="8"/>
      <c r="S176" s="8"/>
      <c r="T176" s="8"/>
      <c r="U176" s="8"/>
      <c r="V176" s="8"/>
      <c r="W176" s="8"/>
      <c r="X176" s="8"/>
    </row>
    <row r="177" spans="1:24" ht="15.75" customHeight="1">
      <c r="A177" s="36"/>
      <c r="B177" s="36"/>
      <c r="C177" s="36"/>
      <c r="D177" s="110"/>
      <c r="E177" s="110"/>
      <c r="F177" s="110"/>
      <c r="G177" s="36"/>
      <c r="H177" s="107"/>
      <c r="I177" s="107"/>
      <c r="J177" s="107"/>
      <c r="K177" s="107"/>
      <c r="L177" s="107"/>
      <c r="M177" s="107"/>
      <c r="N177" s="107"/>
      <c r="O177" s="107"/>
      <c r="P177" s="107"/>
      <c r="Q177" s="107"/>
      <c r="R177" s="8"/>
      <c r="S177" s="8"/>
      <c r="T177" s="8"/>
      <c r="U177" s="8"/>
      <c r="V177" s="8"/>
      <c r="W177" s="8"/>
      <c r="X177" s="8"/>
    </row>
    <row r="178" spans="1:24" ht="15.75" customHeight="1">
      <c r="A178" s="36"/>
      <c r="B178" s="36"/>
      <c r="C178" s="36"/>
      <c r="D178" s="110"/>
      <c r="E178" s="110"/>
      <c r="F178" s="110"/>
      <c r="G178" s="36"/>
      <c r="H178" s="107"/>
      <c r="I178" s="107"/>
      <c r="J178" s="107"/>
      <c r="K178" s="107"/>
      <c r="L178" s="107"/>
      <c r="M178" s="107"/>
      <c r="N178" s="107"/>
      <c r="O178" s="107"/>
      <c r="P178" s="107"/>
      <c r="Q178" s="107"/>
      <c r="R178" s="8"/>
      <c r="S178" s="8"/>
      <c r="T178" s="8"/>
      <c r="U178" s="8"/>
      <c r="V178" s="8"/>
      <c r="W178" s="8"/>
      <c r="X178" s="8"/>
    </row>
    <row r="179" spans="1:24" ht="15.75" customHeight="1">
      <c r="A179" s="36"/>
      <c r="B179" s="36"/>
      <c r="C179" s="36"/>
      <c r="D179" s="110"/>
      <c r="E179" s="110"/>
      <c r="F179" s="110"/>
      <c r="G179" s="36"/>
      <c r="H179" s="107"/>
      <c r="I179" s="107"/>
      <c r="J179" s="107"/>
      <c r="K179" s="107"/>
      <c r="L179" s="107"/>
      <c r="M179" s="107"/>
      <c r="N179" s="107"/>
      <c r="O179" s="107"/>
      <c r="P179" s="107"/>
      <c r="Q179" s="107"/>
      <c r="R179" s="8"/>
      <c r="S179" s="8"/>
      <c r="T179" s="8"/>
      <c r="U179" s="8"/>
      <c r="V179" s="8"/>
      <c r="W179" s="8"/>
      <c r="X179" s="8"/>
    </row>
    <row r="180" spans="1:24" ht="15.75" customHeight="1">
      <c r="A180" s="36"/>
      <c r="B180" s="36"/>
      <c r="C180" s="36"/>
      <c r="D180" s="110"/>
      <c r="E180" s="110"/>
      <c r="F180" s="110"/>
      <c r="G180" s="36"/>
      <c r="H180" s="107"/>
      <c r="I180" s="107"/>
      <c r="J180" s="107"/>
      <c r="K180" s="107"/>
      <c r="L180" s="107"/>
      <c r="M180" s="107"/>
      <c r="N180" s="107"/>
      <c r="O180" s="107"/>
      <c r="P180" s="107"/>
      <c r="Q180" s="107"/>
      <c r="R180" s="8"/>
      <c r="S180" s="8"/>
      <c r="T180" s="8"/>
      <c r="U180" s="8"/>
      <c r="V180" s="8"/>
      <c r="W180" s="8"/>
      <c r="X180" s="8"/>
    </row>
    <row r="181" spans="1:24" ht="15.75" customHeight="1">
      <c r="A181" s="36"/>
      <c r="B181" s="36"/>
      <c r="C181" s="36"/>
      <c r="D181" s="110"/>
      <c r="E181" s="110"/>
      <c r="F181" s="110"/>
      <c r="G181" s="36"/>
      <c r="H181" s="107"/>
      <c r="I181" s="107"/>
      <c r="J181" s="107"/>
      <c r="K181" s="107"/>
      <c r="L181" s="107"/>
      <c r="M181" s="107"/>
      <c r="N181" s="107"/>
      <c r="O181" s="107"/>
      <c r="P181" s="107"/>
      <c r="Q181" s="107"/>
      <c r="R181" s="8"/>
      <c r="S181" s="8"/>
      <c r="T181" s="8"/>
      <c r="U181" s="8"/>
      <c r="V181" s="8"/>
      <c r="W181" s="8"/>
      <c r="X181" s="8"/>
    </row>
    <row r="182" spans="1:24" ht="15.75" customHeight="1">
      <c r="A182" s="36"/>
      <c r="B182" s="36"/>
      <c r="C182" s="36"/>
      <c r="D182" s="110"/>
      <c r="E182" s="110"/>
      <c r="F182" s="110"/>
      <c r="G182" s="36"/>
      <c r="H182" s="107"/>
      <c r="I182" s="107"/>
      <c r="J182" s="107"/>
      <c r="K182" s="107"/>
      <c r="L182" s="107"/>
      <c r="M182" s="107"/>
      <c r="N182" s="107"/>
      <c r="O182" s="107"/>
      <c r="P182" s="107"/>
      <c r="Q182" s="107"/>
      <c r="R182" s="8"/>
      <c r="S182" s="8"/>
      <c r="T182" s="8"/>
      <c r="U182" s="8"/>
      <c r="V182" s="8"/>
      <c r="W182" s="8"/>
      <c r="X182" s="8"/>
    </row>
    <row r="183" spans="1:24" ht="15.75" customHeight="1">
      <c r="A183" s="36"/>
      <c r="B183" s="36"/>
      <c r="C183" s="36"/>
      <c r="D183" s="110"/>
      <c r="E183" s="110"/>
      <c r="F183" s="110"/>
      <c r="G183" s="36"/>
      <c r="H183" s="107"/>
      <c r="I183" s="107"/>
      <c r="J183" s="107"/>
      <c r="K183" s="107"/>
      <c r="L183" s="107"/>
      <c r="M183" s="107"/>
      <c r="N183" s="107"/>
      <c r="O183" s="107"/>
      <c r="P183" s="107"/>
      <c r="Q183" s="107"/>
      <c r="R183" s="8"/>
      <c r="S183" s="8"/>
      <c r="T183" s="8"/>
      <c r="U183" s="8"/>
      <c r="V183" s="8"/>
      <c r="W183" s="8"/>
      <c r="X183" s="8"/>
    </row>
    <row r="184" spans="1:24" ht="15.75" customHeight="1">
      <c r="A184" s="36"/>
      <c r="B184" s="36"/>
      <c r="C184" s="36"/>
      <c r="D184" s="110"/>
      <c r="E184" s="110"/>
      <c r="F184" s="110"/>
      <c r="G184" s="36"/>
      <c r="H184" s="107"/>
      <c r="I184" s="107"/>
      <c r="J184" s="107"/>
      <c r="K184" s="107"/>
      <c r="L184" s="107"/>
      <c r="M184" s="107"/>
      <c r="N184" s="107"/>
      <c r="O184" s="107"/>
      <c r="P184" s="107"/>
      <c r="Q184" s="107"/>
      <c r="R184" s="8"/>
      <c r="S184" s="8"/>
      <c r="T184" s="8"/>
      <c r="U184" s="8"/>
      <c r="V184" s="8"/>
      <c r="W184" s="8"/>
      <c r="X184" s="8"/>
    </row>
    <row r="185" spans="1:24" ht="15.75" customHeight="1">
      <c r="A185" s="36"/>
      <c r="B185" s="36"/>
      <c r="C185" s="36"/>
      <c r="D185" s="110"/>
      <c r="E185" s="110"/>
      <c r="F185" s="110"/>
      <c r="G185" s="36"/>
      <c r="H185" s="107"/>
      <c r="I185" s="107"/>
      <c r="J185" s="107"/>
      <c r="K185" s="107"/>
      <c r="L185" s="107"/>
      <c r="M185" s="107"/>
      <c r="N185" s="107"/>
      <c r="O185" s="107"/>
      <c r="P185" s="107"/>
      <c r="Q185" s="107"/>
      <c r="R185" s="8"/>
      <c r="S185" s="8"/>
      <c r="T185" s="8"/>
      <c r="U185" s="8"/>
      <c r="V185" s="8"/>
      <c r="W185" s="8"/>
      <c r="X185" s="8"/>
    </row>
    <row r="186" spans="1:24" ht="15.75" customHeight="1">
      <c r="A186" s="36"/>
      <c r="B186" s="36"/>
      <c r="C186" s="36"/>
      <c r="D186" s="110"/>
      <c r="E186" s="110"/>
      <c r="F186" s="110"/>
      <c r="G186" s="36"/>
      <c r="H186" s="107"/>
      <c r="I186" s="107"/>
      <c r="J186" s="107"/>
      <c r="K186" s="107"/>
      <c r="L186" s="107"/>
      <c r="M186" s="107"/>
      <c r="N186" s="107"/>
      <c r="O186" s="107"/>
      <c r="P186" s="107"/>
      <c r="Q186" s="107"/>
      <c r="R186" s="8"/>
      <c r="S186" s="8"/>
      <c r="T186" s="8"/>
      <c r="U186" s="8"/>
      <c r="V186" s="8"/>
      <c r="W186" s="8"/>
      <c r="X186" s="8"/>
    </row>
    <row r="187" spans="1:24" ht="15.75" customHeight="1">
      <c r="A187" s="36"/>
      <c r="B187" s="36"/>
      <c r="C187" s="36"/>
      <c r="D187" s="110"/>
      <c r="E187" s="110"/>
      <c r="F187" s="110"/>
      <c r="G187" s="36"/>
      <c r="H187" s="107"/>
      <c r="I187" s="107"/>
      <c r="J187" s="107"/>
      <c r="K187" s="107"/>
      <c r="L187" s="107"/>
      <c r="M187" s="107"/>
      <c r="N187" s="107"/>
      <c r="O187" s="107"/>
      <c r="P187" s="107"/>
      <c r="Q187" s="107"/>
      <c r="R187" s="8"/>
      <c r="S187" s="8"/>
      <c r="T187" s="8"/>
      <c r="U187" s="8"/>
      <c r="V187" s="8"/>
      <c r="W187" s="8"/>
      <c r="X187" s="8"/>
    </row>
    <row r="188" spans="1:24" ht="15.75" customHeight="1">
      <c r="A188" s="36"/>
      <c r="B188" s="36"/>
      <c r="C188" s="36"/>
      <c r="D188" s="110"/>
      <c r="E188" s="110"/>
      <c r="F188" s="110"/>
      <c r="G188" s="36"/>
      <c r="H188" s="107"/>
      <c r="I188" s="107"/>
      <c r="J188" s="107"/>
      <c r="K188" s="107"/>
      <c r="L188" s="107"/>
      <c r="M188" s="107"/>
      <c r="N188" s="107"/>
      <c r="O188" s="107"/>
      <c r="P188" s="107"/>
      <c r="Q188" s="107"/>
      <c r="R188" s="8"/>
      <c r="S188" s="8"/>
      <c r="T188" s="8"/>
      <c r="U188" s="8"/>
      <c r="V188" s="8"/>
      <c r="W188" s="8"/>
      <c r="X188" s="8"/>
    </row>
    <row r="189" spans="1:24" ht="15.75" customHeight="1">
      <c r="A189" s="36"/>
      <c r="B189" s="36"/>
      <c r="C189" s="36"/>
      <c r="D189" s="110"/>
      <c r="E189" s="110"/>
      <c r="F189" s="110"/>
      <c r="G189" s="36"/>
      <c r="H189" s="107"/>
      <c r="I189" s="107"/>
      <c r="J189" s="107"/>
      <c r="K189" s="107"/>
      <c r="L189" s="107"/>
      <c r="M189" s="107"/>
      <c r="N189" s="107"/>
      <c r="O189" s="107"/>
      <c r="P189" s="107"/>
      <c r="Q189" s="107"/>
      <c r="R189" s="8"/>
      <c r="S189" s="8"/>
      <c r="T189" s="8"/>
      <c r="U189" s="8"/>
      <c r="V189" s="8"/>
      <c r="W189" s="8"/>
      <c r="X189" s="8"/>
    </row>
    <row r="190" spans="1:24" ht="15.75" customHeight="1">
      <c r="A190" s="36"/>
      <c r="B190" s="36"/>
      <c r="C190" s="36"/>
      <c r="D190" s="110"/>
      <c r="E190" s="110"/>
      <c r="F190" s="110"/>
      <c r="G190" s="36"/>
      <c r="H190" s="107"/>
      <c r="I190" s="107"/>
      <c r="J190" s="107"/>
      <c r="K190" s="107"/>
      <c r="L190" s="107"/>
      <c r="M190" s="107"/>
      <c r="N190" s="107"/>
      <c r="O190" s="107"/>
      <c r="P190" s="107"/>
      <c r="Q190" s="107"/>
      <c r="R190" s="8"/>
      <c r="S190" s="8"/>
      <c r="T190" s="8"/>
      <c r="U190" s="8"/>
      <c r="V190" s="8"/>
      <c r="W190" s="8"/>
      <c r="X190" s="8"/>
    </row>
    <row r="191" spans="1:24" ht="15.75" customHeight="1">
      <c r="A191" s="36"/>
      <c r="B191" s="36"/>
      <c r="C191" s="36"/>
      <c r="D191" s="110"/>
      <c r="E191" s="110"/>
      <c r="F191" s="110"/>
      <c r="G191" s="36"/>
      <c r="H191" s="107"/>
      <c r="I191" s="107"/>
      <c r="J191" s="107"/>
      <c r="K191" s="107"/>
      <c r="L191" s="107"/>
      <c r="M191" s="107"/>
      <c r="N191" s="107"/>
      <c r="O191" s="107"/>
      <c r="P191" s="107"/>
      <c r="Q191" s="107"/>
      <c r="R191" s="8"/>
      <c r="S191" s="8"/>
      <c r="T191" s="8"/>
      <c r="U191" s="8"/>
      <c r="V191" s="8"/>
      <c r="W191" s="8"/>
      <c r="X191" s="8"/>
    </row>
    <row r="192" spans="1:24" ht="15.75" customHeight="1">
      <c r="A192" s="36"/>
      <c r="B192" s="36"/>
      <c r="C192" s="36"/>
      <c r="D192" s="110"/>
      <c r="E192" s="110"/>
      <c r="F192" s="110"/>
      <c r="G192" s="36"/>
      <c r="H192" s="107"/>
      <c r="I192" s="107"/>
      <c r="J192" s="107"/>
      <c r="K192" s="107"/>
      <c r="L192" s="107"/>
      <c r="M192" s="107"/>
      <c r="N192" s="107"/>
      <c r="O192" s="107"/>
      <c r="P192" s="107"/>
      <c r="Q192" s="107"/>
      <c r="R192" s="8"/>
      <c r="S192" s="8"/>
      <c r="T192" s="8"/>
      <c r="U192" s="8"/>
      <c r="V192" s="8"/>
      <c r="W192" s="8"/>
      <c r="X192" s="8"/>
    </row>
    <row r="193" spans="1:24" ht="15.75" customHeight="1">
      <c r="A193" s="36"/>
      <c r="B193" s="36"/>
      <c r="C193" s="36"/>
      <c r="D193" s="110"/>
      <c r="E193" s="110"/>
      <c r="F193" s="110"/>
      <c r="G193" s="36"/>
      <c r="H193" s="107"/>
      <c r="I193" s="107"/>
      <c r="J193" s="107"/>
      <c r="K193" s="107"/>
      <c r="L193" s="107"/>
      <c r="M193" s="107"/>
      <c r="N193" s="107"/>
      <c r="O193" s="107"/>
      <c r="P193" s="107"/>
      <c r="Q193" s="107"/>
      <c r="R193" s="8"/>
      <c r="S193" s="8"/>
      <c r="T193" s="8"/>
      <c r="U193" s="8"/>
      <c r="V193" s="8"/>
      <c r="W193" s="8"/>
      <c r="X193" s="8"/>
    </row>
    <row r="194" spans="1:24" ht="15.75" customHeight="1">
      <c r="A194" s="36"/>
      <c r="B194" s="36"/>
      <c r="C194" s="36"/>
      <c r="D194" s="110"/>
      <c r="E194" s="110"/>
      <c r="F194" s="110"/>
      <c r="G194" s="36"/>
      <c r="H194" s="107"/>
      <c r="I194" s="107"/>
      <c r="J194" s="107"/>
      <c r="K194" s="107"/>
      <c r="L194" s="107"/>
      <c r="M194" s="107"/>
      <c r="N194" s="107"/>
      <c r="O194" s="107"/>
      <c r="P194" s="107"/>
      <c r="Q194" s="107"/>
      <c r="R194" s="8"/>
      <c r="S194" s="8"/>
      <c r="T194" s="8"/>
      <c r="U194" s="8"/>
      <c r="V194" s="8"/>
      <c r="W194" s="8"/>
      <c r="X194" s="8"/>
    </row>
    <row r="195" spans="1:24" ht="15.75" customHeight="1">
      <c r="A195" s="36"/>
      <c r="B195" s="36"/>
      <c r="C195" s="36"/>
      <c r="D195" s="110"/>
      <c r="E195" s="110"/>
      <c r="F195" s="110"/>
      <c r="G195" s="36"/>
      <c r="H195" s="107"/>
      <c r="I195" s="107"/>
      <c r="J195" s="107"/>
      <c r="K195" s="107"/>
      <c r="L195" s="107"/>
      <c r="M195" s="107"/>
      <c r="N195" s="107"/>
      <c r="O195" s="107"/>
      <c r="P195" s="107"/>
      <c r="Q195" s="107"/>
      <c r="R195" s="8"/>
      <c r="S195" s="8"/>
      <c r="T195" s="8"/>
      <c r="U195" s="8"/>
      <c r="V195" s="8"/>
      <c r="W195" s="8"/>
      <c r="X195" s="8"/>
    </row>
    <row r="196" spans="1:24" ht="15.75" customHeight="1">
      <c r="A196" s="36"/>
      <c r="B196" s="36"/>
      <c r="C196" s="36"/>
      <c r="D196" s="110"/>
      <c r="E196" s="110"/>
      <c r="F196" s="110"/>
      <c r="G196" s="36"/>
      <c r="H196" s="107"/>
      <c r="I196" s="107"/>
      <c r="J196" s="107"/>
      <c r="K196" s="107"/>
      <c r="L196" s="107"/>
      <c r="M196" s="107"/>
      <c r="N196" s="107"/>
      <c r="O196" s="107"/>
      <c r="P196" s="107"/>
      <c r="Q196" s="107"/>
      <c r="R196" s="8"/>
      <c r="S196" s="8"/>
      <c r="T196" s="8"/>
      <c r="U196" s="8"/>
      <c r="V196" s="8"/>
      <c r="W196" s="8"/>
      <c r="X196" s="8"/>
    </row>
    <row r="197" spans="1:24" ht="15.75" customHeight="1">
      <c r="A197" s="36"/>
      <c r="B197" s="36"/>
      <c r="C197" s="36"/>
      <c r="D197" s="110"/>
      <c r="E197" s="110"/>
      <c r="F197" s="110"/>
      <c r="G197" s="36"/>
      <c r="H197" s="107"/>
      <c r="I197" s="107"/>
      <c r="J197" s="107"/>
      <c r="K197" s="107"/>
      <c r="L197" s="107"/>
      <c r="M197" s="107"/>
      <c r="N197" s="107"/>
      <c r="O197" s="107"/>
      <c r="P197" s="107"/>
      <c r="Q197" s="107"/>
      <c r="R197" s="8"/>
      <c r="S197" s="8"/>
      <c r="T197" s="8"/>
      <c r="U197" s="8"/>
      <c r="V197" s="8"/>
      <c r="W197" s="8"/>
      <c r="X197" s="8"/>
    </row>
    <row r="198" spans="1:24" ht="15.75" customHeight="1">
      <c r="A198" s="36"/>
      <c r="B198" s="36"/>
      <c r="C198" s="36"/>
      <c r="D198" s="110"/>
      <c r="E198" s="110"/>
      <c r="F198" s="110"/>
      <c r="G198" s="36"/>
      <c r="H198" s="107"/>
      <c r="I198" s="107"/>
      <c r="J198" s="107"/>
      <c r="K198" s="107"/>
      <c r="L198" s="107"/>
      <c r="M198" s="107"/>
      <c r="N198" s="107"/>
      <c r="O198" s="107"/>
      <c r="P198" s="107"/>
      <c r="Q198" s="107"/>
      <c r="R198" s="8"/>
      <c r="S198" s="8"/>
      <c r="T198" s="8"/>
      <c r="U198" s="8"/>
      <c r="V198" s="8"/>
      <c r="W198" s="8"/>
      <c r="X198" s="8"/>
    </row>
    <row r="199" spans="1:24" ht="15.75" customHeight="1">
      <c r="A199" s="36"/>
      <c r="B199" s="36"/>
      <c r="C199" s="36"/>
      <c r="D199" s="110"/>
      <c r="E199" s="110"/>
      <c r="F199" s="110"/>
      <c r="G199" s="36"/>
      <c r="H199" s="107"/>
      <c r="I199" s="107"/>
      <c r="J199" s="107"/>
      <c r="K199" s="107"/>
      <c r="L199" s="107"/>
      <c r="M199" s="107"/>
      <c r="N199" s="107"/>
      <c r="O199" s="107"/>
      <c r="P199" s="107"/>
      <c r="Q199" s="107"/>
      <c r="R199" s="8"/>
      <c r="S199" s="8"/>
      <c r="T199" s="8"/>
      <c r="U199" s="8"/>
      <c r="V199" s="8"/>
      <c r="W199" s="8"/>
      <c r="X199" s="8"/>
    </row>
    <row r="200" spans="1:24" ht="15.75" customHeight="1">
      <c r="A200" s="36"/>
      <c r="B200" s="36"/>
      <c r="C200" s="36"/>
      <c r="D200" s="110"/>
      <c r="E200" s="110"/>
      <c r="F200" s="110"/>
      <c r="G200" s="36"/>
      <c r="H200" s="107"/>
      <c r="I200" s="107"/>
      <c r="J200" s="107"/>
      <c r="K200" s="107"/>
      <c r="L200" s="107"/>
      <c r="M200" s="107"/>
      <c r="N200" s="107"/>
      <c r="O200" s="107"/>
      <c r="P200" s="107"/>
      <c r="Q200" s="107"/>
      <c r="R200" s="8"/>
      <c r="S200" s="8"/>
      <c r="T200" s="8"/>
      <c r="U200" s="8"/>
      <c r="V200" s="8"/>
      <c r="W200" s="8"/>
      <c r="X200" s="8"/>
    </row>
    <row r="201" spans="1:24" ht="15.75" customHeight="1">
      <c r="A201" s="36"/>
      <c r="B201" s="36"/>
      <c r="C201" s="36"/>
      <c r="D201" s="110"/>
      <c r="E201" s="110"/>
      <c r="F201" s="110"/>
      <c r="G201" s="36"/>
      <c r="H201" s="107"/>
      <c r="I201" s="107"/>
      <c r="J201" s="107"/>
      <c r="K201" s="107"/>
      <c r="L201" s="107"/>
      <c r="M201" s="107"/>
      <c r="N201" s="107"/>
      <c r="O201" s="107"/>
      <c r="P201" s="107"/>
      <c r="Q201" s="107"/>
      <c r="R201" s="8"/>
      <c r="S201" s="8"/>
      <c r="T201" s="8"/>
      <c r="U201" s="8"/>
      <c r="V201" s="8"/>
      <c r="W201" s="8"/>
      <c r="X201" s="8"/>
    </row>
    <row r="202" spans="1:24" ht="15.75" customHeight="1">
      <c r="A202" s="36"/>
      <c r="B202" s="36"/>
      <c r="C202" s="36"/>
      <c r="D202" s="110"/>
      <c r="E202" s="110"/>
      <c r="F202" s="110"/>
      <c r="G202" s="36"/>
      <c r="H202" s="107"/>
      <c r="I202" s="107"/>
      <c r="J202" s="107"/>
      <c r="K202" s="107"/>
      <c r="L202" s="107"/>
      <c r="M202" s="107"/>
      <c r="N202" s="107"/>
      <c r="O202" s="107"/>
      <c r="P202" s="107"/>
      <c r="Q202" s="107"/>
      <c r="R202" s="8"/>
      <c r="S202" s="8"/>
      <c r="T202" s="8"/>
      <c r="U202" s="8"/>
      <c r="V202" s="8"/>
      <c r="W202" s="8"/>
      <c r="X202" s="8"/>
    </row>
    <row r="203" spans="1:24" ht="15.75" customHeight="1">
      <c r="A203" s="36"/>
      <c r="B203" s="36"/>
      <c r="C203" s="36"/>
      <c r="D203" s="110"/>
      <c r="E203" s="110"/>
      <c r="F203" s="110"/>
      <c r="G203" s="36"/>
      <c r="H203" s="107"/>
      <c r="I203" s="107"/>
      <c r="J203" s="107"/>
      <c r="K203" s="107"/>
      <c r="L203" s="107"/>
      <c r="M203" s="107"/>
      <c r="N203" s="107"/>
      <c r="O203" s="107"/>
      <c r="P203" s="107"/>
      <c r="Q203" s="107"/>
      <c r="R203" s="8"/>
      <c r="S203" s="8"/>
      <c r="T203" s="8"/>
      <c r="U203" s="8"/>
      <c r="V203" s="8"/>
      <c r="W203" s="8"/>
      <c r="X203" s="8"/>
    </row>
    <row r="204" spans="1:24" ht="15.75" customHeight="1">
      <c r="A204" s="36"/>
      <c r="B204" s="36"/>
      <c r="C204" s="36"/>
      <c r="D204" s="110"/>
      <c r="E204" s="110"/>
      <c r="F204" s="110"/>
      <c r="G204" s="36"/>
      <c r="H204" s="107"/>
      <c r="I204" s="107"/>
      <c r="J204" s="107"/>
      <c r="K204" s="107"/>
      <c r="L204" s="107"/>
      <c r="M204" s="107"/>
      <c r="N204" s="107"/>
      <c r="O204" s="107"/>
      <c r="P204" s="107"/>
      <c r="Q204" s="107"/>
      <c r="R204" s="8"/>
      <c r="S204" s="8"/>
      <c r="T204" s="8"/>
      <c r="U204" s="8"/>
      <c r="V204" s="8"/>
      <c r="W204" s="8"/>
      <c r="X204" s="8"/>
    </row>
    <row r="205" spans="1:24" ht="15.75" customHeight="1">
      <c r="A205" s="36"/>
      <c r="B205" s="36"/>
      <c r="C205" s="36"/>
      <c r="D205" s="110"/>
      <c r="E205" s="110"/>
      <c r="F205" s="110"/>
      <c r="G205" s="36"/>
      <c r="H205" s="107"/>
      <c r="I205" s="107"/>
      <c r="J205" s="107"/>
      <c r="K205" s="107"/>
      <c r="L205" s="107"/>
      <c r="M205" s="107"/>
      <c r="N205" s="107"/>
      <c r="O205" s="107"/>
      <c r="P205" s="107"/>
      <c r="Q205" s="107"/>
      <c r="R205" s="8"/>
      <c r="S205" s="8"/>
      <c r="T205" s="8"/>
      <c r="U205" s="8"/>
      <c r="V205" s="8"/>
      <c r="W205" s="8"/>
      <c r="X205" s="8"/>
    </row>
    <row r="206" spans="1:24" ht="15.75" customHeight="1">
      <c r="A206" s="36"/>
      <c r="B206" s="36"/>
      <c r="C206" s="36"/>
      <c r="D206" s="110"/>
      <c r="E206" s="110"/>
      <c r="F206" s="110"/>
      <c r="G206" s="36"/>
      <c r="H206" s="107"/>
      <c r="I206" s="107"/>
      <c r="J206" s="107"/>
      <c r="K206" s="107"/>
      <c r="L206" s="107"/>
      <c r="M206" s="107"/>
      <c r="N206" s="107"/>
      <c r="O206" s="107"/>
      <c r="P206" s="107"/>
      <c r="Q206" s="107"/>
      <c r="R206" s="8"/>
      <c r="S206" s="8"/>
      <c r="T206" s="8"/>
      <c r="U206" s="8"/>
      <c r="V206" s="8"/>
      <c r="W206" s="8"/>
      <c r="X206" s="8"/>
    </row>
    <row r="207" spans="1:24" ht="15.75" customHeight="1">
      <c r="A207" s="36"/>
      <c r="B207" s="36"/>
      <c r="C207" s="36"/>
      <c r="D207" s="110"/>
      <c r="E207" s="110"/>
      <c r="F207" s="110"/>
      <c r="G207" s="36"/>
      <c r="H207" s="107"/>
      <c r="I207" s="107"/>
      <c r="J207" s="107"/>
      <c r="K207" s="107"/>
      <c r="L207" s="107"/>
      <c r="M207" s="107"/>
      <c r="N207" s="107"/>
      <c r="O207" s="107"/>
      <c r="P207" s="107"/>
      <c r="Q207" s="107"/>
      <c r="R207" s="8"/>
      <c r="S207" s="8"/>
      <c r="T207" s="8"/>
      <c r="U207" s="8"/>
      <c r="V207" s="8"/>
      <c r="W207" s="8"/>
      <c r="X207" s="8"/>
    </row>
    <row r="208" spans="1:24" ht="15.75" customHeight="1">
      <c r="A208" s="36"/>
      <c r="B208" s="36"/>
      <c r="C208" s="36"/>
      <c r="D208" s="110"/>
      <c r="E208" s="110"/>
      <c r="F208" s="110"/>
      <c r="G208" s="36"/>
      <c r="H208" s="107"/>
      <c r="I208" s="107"/>
      <c r="J208" s="107"/>
      <c r="K208" s="107"/>
      <c r="L208" s="107"/>
      <c r="M208" s="107"/>
      <c r="N208" s="107"/>
      <c r="O208" s="107"/>
      <c r="P208" s="107"/>
      <c r="Q208" s="107"/>
      <c r="R208" s="8"/>
      <c r="S208" s="8"/>
      <c r="T208" s="8"/>
      <c r="U208" s="8"/>
      <c r="V208" s="8"/>
      <c r="W208" s="8"/>
      <c r="X208" s="8"/>
    </row>
    <row r="209" spans="1:24" ht="15.75" customHeight="1">
      <c r="A209" s="36"/>
      <c r="B209" s="36"/>
      <c r="C209" s="36"/>
      <c r="D209" s="110"/>
      <c r="E209" s="110"/>
      <c r="F209" s="110"/>
      <c r="G209" s="36"/>
      <c r="H209" s="107"/>
      <c r="I209" s="107"/>
      <c r="J209" s="107"/>
      <c r="K209" s="107"/>
      <c r="L209" s="107"/>
      <c r="M209" s="107"/>
      <c r="N209" s="107"/>
      <c r="O209" s="107"/>
      <c r="P209" s="107"/>
      <c r="Q209" s="107"/>
      <c r="R209" s="8"/>
      <c r="S209" s="8"/>
      <c r="T209" s="8"/>
      <c r="U209" s="8"/>
      <c r="V209" s="8"/>
      <c r="W209" s="8"/>
      <c r="X209" s="8"/>
    </row>
    <row r="210" spans="1:24" ht="15.75" customHeight="1">
      <c r="A210" s="36"/>
      <c r="B210" s="36"/>
      <c r="C210" s="36"/>
      <c r="D210" s="110"/>
      <c r="E210" s="110"/>
      <c r="F210" s="110"/>
      <c r="G210" s="36"/>
      <c r="H210" s="107"/>
      <c r="I210" s="107"/>
      <c r="J210" s="107"/>
      <c r="K210" s="107"/>
      <c r="L210" s="107"/>
      <c r="M210" s="107"/>
      <c r="N210" s="107"/>
      <c r="O210" s="107"/>
      <c r="P210" s="107"/>
      <c r="Q210" s="107"/>
      <c r="R210" s="8"/>
      <c r="S210" s="8"/>
      <c r="T210" s="8"/>
      <c r="U210" s="8"/>
      <c r="V210" s="8"/>
      <c r="W210" s="8"/>
      <c r="X210" s="8"/>
    </row>
    <row r="211" spans="1:24" ht="15.75" customHeight="1">
      <c r="A211" s="36"/>
      <c r="B211" s="36"/>
      <c r="C211" s="36"/>
      <c r="D211" s="110"/>
      <c r="E211" s="110"/>
      <c r="F211" s="110"/>
      <c r="G211" s="36"/>
      <c r="H211" s="107"/>
      <c r="I211" s="107"/>
      <c r="J211" s="107"/>
      <c r="K211" s="107"/>
      <c r="L211" s="107"/>
      <c r="M211" s="107"/>
      <c r="N211" s="107"/>
      <c r="O211" s="107"/>
      <c r="P211" s="107"/>
      <c r="Q211" s="107"/>
      <c r="R211" s="8"/>
      <c r="S211" s="8"/>
      <c r="T211" s="8"/>
      <c r="U211" s="8"/>
      <c r="V211" s="8"/>
      <c r="W211" s="8"/>
      <c r="X211" s="8"/>
    </row>
    <row r="212" spans="1:24" ht="15.75" customHeight="1">
      <c r="A212" s="36"/>
      <c r="B212" s="36"/>
      <c r="C212" s="36"/>
      <c r="D212" s="110"/>
      <c r="E212" s="110"/>
      <c r="F212" s="110"/>
      <c r="G212" s="36"/>
      <c r="H212" s="107"/>
      <c r="I212" s="107"/>
      <c r="J212" s="107"/>
      <c r="K212" s="107"/>
      <c r="L212" s="107"/>
      <c r="M212" s="107"/>
      <c r="N212" s="107"/>
      <c r="O212" s="107"/>
      <c r="P212" s="107"/>
      <c r="Q212" s="107"/>
      <c r="R212" s="8"/>
      <c r="S212" s="8"/>
      <c r="T212" s="8"/>
      <c r="U212" s="8"/>
      <c r="V212" s="8"/>
      <c r="W212" s="8"/>
      <c r="X212" s="8"/>
    </row>
    <row r="213" spans="1:24" ht="15.75" customHeight="1">
      <c r="A213" s="36"/>
      <c r="B213" s="36"/>
      <c r="C213" s="36"/>
      <c r="D213" s="110"/>
      <c r="E213" s="110"/>
      <c r="F213" s="110"/>
      <c r="G213" s="36"/>
      <c r="H213" s="107"/>
      <c r="I213" s="107"/>
      <c r="J213" s="107"/>
      <c r="K213" s="107"/>
      <c r="L213" s="107"/>
      <c r="M213" s="107"/>
      <c r="N213" s="107"/>
      <c r="O213" s="107"/>
      <c r="P213" s="107"/>
      <c r="Q213" s="107"/>
      <c r="R213" s="8"/>
      <c r="S213" s="8"/>
      <c r="T213" s="8"/>
      <c r="U213" s="8"/>
      <c r="V213" s="8"/>
      <c r="W213" s="8"/>
      <c r="X213" s="8"/>
    </row>
    <row r="214" spans="1:24" ht="15.75" customHeight="1">
      <c r="A214" s="36"/>
      <c r="B214" s="36"/>
      <c r="C214" s="36"/>
      <c r="D214" s="110"/>
      <c r="E214" s="110"/>
      <c r="F214" s="110"/>
      <c r="G214" s="36"/>
      <c r="H214" s="107"/>
      <c r="I214" s="107"/>
      <c r="J214" s="107"/>
      <c r="K214" s="107"/>
      <c r="L214" s="107"/>
      <c r="M214" s="107"/>
      <c r="N214" s="107"/>
      <c r="O214" s="107"/>
      <c r="P214" s="107"/>
      <c r="Q214" s="107"/>
      <c r="R214" s="8"/>
      <c r="S214" s="8"/>
      <c r="T214" s="8"/>
      <c r="U214" s="8"/>
      <c r="V214" s="8"/>
      <c r="W214" s="8"/>
      <c r="X214" s="8"/>
    </row>
    <row r="215" spans="1:24" ht="15.75" customHeight="1">
      <c r="A215" s="36"/>
      <c r="B215" s="36"/>
      <c r="C215" s="36"/>
      <c r="D215" s="110"/>
      <c r="E215" s="110"/>
      <c r="F215" s="110"/>
      <c r="G215" s="36"/>
      <c r="H215" s="107"/>
      <c r="I215" s="107"/>
      <c r="J215" s="107"/>
      <c r="K215" s="107"/>
      <c r="L215" s="107"/>
      <c r="M215" s="107"/>
      <c r="N215" s="107"/>
      <c r="O215" s="107"/>
      <c r="P215" s="107"/>
      <c r="Q215" s="107"/>
      <c r="R215" s="8"/>
      <c r="S215" s="8"/>
      <c r="T215" s="8"/>
      <c r="U215" s="8"/>
      <c r="V215" s="8"/>
      <c r="W215" s="8"/>
      <c r="X215" s="8"/>
    </row>
    <row r="216" spans="1:24" ht="15.75" customHeight="1">
      <c r="A216" s="36"/>
      <c r="B216" s="36"/>
      <c r="C216" s="36"/>
      <c r="D216" s="110"/>
      <c r="E216" s="110"/>
      <c r="F216" s="110"/>
      <c r="G216" s="36"/>
      <c r="H216" s="107"/>
      <c r="I216" s="107"/>
      <c r="J216" s="107"/>
      <c r="K216" s="107"/>
      <c r="L216" s="107"/>
      <c r="M216" s="107"/>
      <c r="N216" s="107"/>
      <c r="O216" s="107"/>
      <c r="P216" s="107"/>
      <c r="Q216" s="107"/>
      <c r="R216" s="8"/>
      <c r="S216" s="8"/>
      <c r="T216" s="8"/>
      <c r="U216" s="8"/>
      <c r="V216" s="8"/>
      <c r="W216" s="8"/>
      <c r="X216" s="8"/>
    </row>
    <row r="217" spans="1:24" ht="15.75" customHeight="1">
      <c r="A217" s="36"/>
      <c r="B217" s="36"/>
      <c r="C217" s="36"/>
      <c r="D217" s="110"/>
      <c r="E217" s="110"/>
      <c r="F217" s="110"/>
      <c r="G217" s="36"/>
      <c r="H217" s="107"/>
      <c r="I217" s="107"/>
      <c r="J217" s="107"/>
      <c r="K217" s="107"/>
      <c r="L217" s="107"/>
      <c r="M217" s="107"/>
      <c r="N217" s="107"/>
      <c r="O217" s="107"/>
      <c r="P217" s="107"/>
      <c r="Q217" s="107"/>
      <c r="R217" s="8"/>
      <c r="S217" s="8"/>
      <c r="T217" s="8"/>
      <c r="U217" s="8"/>
      <c r="V217" s="8"/>
      <c r="W217" s="8"/>
      <c r="X217" s="8"/>
    </row>
    <row r="218" spans="1:24" ht="15.75" customHeight="1">
      <c r="A218" s="36"/>
      <c r="B218" s="36"/>
      <c r="C218" s="36"/>
      <c r="D218" s="110"/>
      <c r="E218" s="110"/>
      <c r="F218" s="110"/>
      <c r="G218" s="36"/>
      <c r="H218" s="107"/>
      <c r="I218" s="107"/>
      <c r="J218" s="107"/>
      <c r="K218" s="107"/>
      <c r="L218" s="107"/>
      <c r="M218" s="107"/>
      <c r="N218" s="107"/>
      <c r="O218" s="107"/>
      <c r="P218" s="107"/>
      <c r="Q218" s="107"/>
      <c r="R218" s="8"/>
      <c r="S218" s="8"/>
      <c r="T218" s="8"/>
      <c r="U218" s="8"/>
      <c r="V218" s="8"/>
      <c r="W218" s="8"/>
      <c r="X218" s="8"/>
    </row>
    <row r="219" spans="1:24" ht="15.75" customHeight="1">
      <c r="A219" s="36"/>
      <c r="B219" s="36"/>
      <c r="C219" s="36"/>
      <c r="D219" s="110"/>
      <c r="E219" s="110"/>
      <c r="F219" s="110"/>
      <c r="G219" s="36"/>
      <c r="H219" s="107"/>
      <c r="I219" s="107"/>
      <c r="J219" s="107"/>
      <c r="K219" s="107"/>
      <c r="L219" s="107"/>
      <c r="M219" s="107"/>
      <c r="N219" s="107"/>
      <c r="O219" s="107"/>
      <c r="P219" s="107"/>
      <c r="Q219" s="107"/>
      <c r="R219" s="8"/>
      <c r="S219" s="8"/>
      <c r="T219" s="8"/>
      <c r="U219" s="8"/>
      <c r="V219" s="8"/>
      <c r="W219" s="8"/>
      <c r="X219" s="8"/>
    </row>
    <row r="220" spans="1:24" ht="15.75" customHeight="1">
      <c r="A220" s="36"/>
      <c r="B220" s="36"/>
      <c r="C220" s="36"/>
      <c r="D220" s="110"/>
      <c r="E220" s="110"/>
      <c r="F220" s="110"/>
      <c r="G220" s="36"/>
      <c r="H220" s="107"/>
      <c r="I220" s="107"/>
      <c r="J220" s="107"/>
      <c r="K220" s="107"/>
      <c r="L220" s="107"/>
      <c r="M220" s="107"/>
      <c r="N220" s="107"/>
      <c r="O220" s="107"/>
      <c r="P220" s="107"/>
      <c r="Q220" s="107"/>
      <c r="R220" s="8"/>
      <c r="S220" s="8"/>
      <c r="T220" s="8"/>
      <c r="U220" s="8"/>
      <c r="V220" s="8"/>
      <c r="W220" s="8"/>
      <c r="X220" s="8"/>
    </row>
    <row r="221" spans="1:24" ht="15.75" customHeight="1">
      <c r="A221" s="36"/>
      <c r="B221" s="36"/>
      <c r="C221" s="36"/>
      <c r="D221" s="110"/>
      <c r="E221" s="110"/>
      <c r="F221" s="110"/>
      <c r="G221" s="36"/>
      <c r="H221" s="107"/>
      <c r="I221" s="107"/>
      <c r="J221" s="107"/>
      <c r="K221" s="107"/>
      <c r="L221" s="107"/>
      <c r="M221" s="107"/>
      <c r="N221" s="107"/>
      <c r="O221" s="107"/>
      <c r="P221" s="107"/>
      <c r="Q221" s="107"/>
      <c r="R221" s="8"/>
      <c r="S221" s="8"/>
      <c r="T221" s="8"/>
      <c r="U221" s="8"/>
      <c r="V221" s="8"/>
      <c r="W221" s="8"/>
      <c r="X221" s="8"/>
    </row>
    <row r="222" spans="1:24" ht="15.75" customHeight="1">
      <c r="A222" s="36"/>
      <c r="B222" s="36"/>
      <c r="C222" s="36"/>
      <c r="D222" s="110"/>
      <c r="E222" s="110"/>
      <c r="F222" s="110"/>
      <c r="G222" s="36"/>
      <c r="H222" s="107"/>
      <c r="I222" s="107"/>
      <c r="J222" s="107"/>
      <c r="K222" s="107"/>
      <c r="L222" s="107"/>
      <c r="M222" s="107"/>
      <c r="N222" s="107"/>
      <c r="O222" s="107"/>
      <c r="P222" s="107"/>
      <c r="Q222" s="107"/>
      <c r="R222" s="8"/>
      <c r="S222" s="8"/>
      <c r="T222" s="8"/>
      <c r="U222" s="8"/>
      <c r="V222" s="8"/>
      <c r="W222" s="8"/>
      <c r="X222" s="8"/>
    </row>
    <row r="223" spans="1:24" ht="15.75" customHeight="1">
      <c r="A223" s="36"/>
      <c r="B223" s="36"/>
      <c r="C223" s="36"/>
      <c r="D223" s="110"/>
      <c r="E223" s="110"/>
      <c r="F223" s="110"/>
      <c r="G223" s="36"/>
      <c r="H223" s="107"/>
      <c r="I223" s="107"/>
      <c r="J223" s="107"/>
      <c r="K223" s="107"/>
      <c r="L223" s="107"/>
      <c r="M223" s="107"/>
      <c r="N223" s="107"/>
      <c r="O223" s="107"/>
      <c r="P223" s="107"/>
      <c r="Q223" s="107"/>
      <c r="R223" s="8"/>
      <c r="S223" s="8"/>
      <c r="T223" s="8"/>
      <c r="U223" s="8"/>
      <c r="V223" s="8"/>
      <c r="W223" s="8"/>
      <c r="X223" s="8"/>
    </row>
    <row r="224" spans="1:24" ht="15.75" customHeight="1">
      <c r="A224" s="36"/>
      <c r="B224" s="36"/>
      <c r="C224" s="36"/>
      <c r="D224" s="110"/>
      <c r="E224" s="110"/>
      <c r="F224" s="110"/>
      <c r="G224" s="36"/>
      <c r="H224" s="107"/>
      <c r="I224" s="107"/>
      <c r="J224" s="107"/>
      <c r="K224" s="107"/>
      <c r="L224" s="107"/>
      <c r="M224" s="107"/>
      <c r="N224" s="107"/>
      <c r="O224" s="107"/>
      <c r="P224" s="107"/>
      <c r="Q224" s="107"/>
      <c r="R224" s="8"/>
      <c r="S224" s="8"/>
      <c r="T224" s="8"/>
      <c r="U224" s="8"/>
      <c r="V224" s="8"/>
      <c r="W224" s="8"/>
      <c r="X224" s="8"/>
    </row>
    <row r="225" spans="1:24" ht="15.75" customHeight="1">
      <c r="A225" s="36"/>
      <c r="B225" s="36"/>
      <c r="C225" s="36"/>
      <c r="D225" s="110"/>
      <c r="E225" s="110"/>
      <c r="F225" s="110"/>
      <c r="G225" s="36"/>
      <c r="H225" s="107"/>
      <c r="I225" s="107"/>
      <c r="J225" s="107"/>
      <c r="K225" s="107"/>
      <c r="L225" s="107"/>
      <c r="M225" s="107"/>
      <c r="N225" s="107"/>
      <c r="O225" s="107"/>
      <c r="P225" s="107"/>
      <c r="Q225" s="107"/>
      <c r="R225" s="8"/>
      <c r="S225" s="8"/>
      <c r="T225" s="8"/>
      <c r="U225" s="8"/>
      <c r="V225" s="8"/>
      <c r="W225" s="8"/>
      <c r="X225" s="8"/>
    </row>
    <row r="226" spans="1:24" ht="15.75" customHeight="1">
      <c r="A226" s="36"/>
      <c r="B226" s="36"/>
      <c r="C226" s="36"/>
      <c r="D226" s="110"/>
      <c r="E226" s="110"/>
      <c r="F226" s="110"/>
      <c r="G226" s="36"/>
      <c r="H226" s="107"/>
      <c r="I226" s="107"/>
      <c r="J226" s="107"/>
      <c r="K226" s="107"/>
      <c r="L226" s="107"/>
      <c r="M226" s="107"/>
      <c r="N226" s="107"/>
      <c r="O226" s="107"/>
      <c r="P226" s="107"/>
      <c r="Q226" s="107"/>
      <c r="R226" s="8"/>
      <c r="S226" s="8"/>
      <c r="T226" s="8"/>
      <c r="U226" s="8"/>
      <c r="V226" s="8"/>
      <c r="W226" s="8"/>
      <c r="X226" s="8"/>
    </row>
    <row r="227" spans="1:24" ht="15.75" customHeight="1">
      <c r="A227" s="36"/>
      <c r="B227" s="36"/>
      <c r="C227" s="36"/>
      <c r="D227" s="110"/>
      <c r="E227" s="110"/>
      <c r="F227" s="110"/>
      <c r="G227" s="36"/>
      <c r="H227" s="107"/>
      <c r="I227" s="107"/>
      <c r="J227" s="107"/>
      <c r="K227" s="107"/>
      <c r="L227" s="107"/>
      <c r="M227" s="107"/>
      <c r="N227" s="107"/>
      <c r="O227" s="107"/>
      <c r="P227" s="107"/>
      <c r="Q227" s="107"/>
      <c r="R227" s="8"/>
      <c r="S227" s="8"/>
      <c r="T227" s="8"/>
      <c r="U227" s="8"/>
      <c r="V227" s="8"/>
      <c r="W227" s="8"/>
      <c r="X227" s="8"/>
    </row>
    <row r="228" spans="1:24" ht="15.75" customHeight="1">
      <c r="A228" s="36"/>
      <c r="B228" s="36"/>
      <c r="C228" s="36"/>
      <c r="D228" s="110"/>
      <c r="E228" s="110"/>
      <c r="F228" s="110"/>
      <c r="G228" s="36"/>
      <c r="H228" s="107"/>
      <c r="I228" s="107"/>
      <c r="J228" s="107"/>
      <c r="K228" s="107"/>
      <c r="L228" s="107"/>
      <c r="M228" s="107"/>
      <c r="N228" s="107"/>
      <c r="O228" s="107"/>
      <c r="P228" s="107"/>
      <c r="Q228" s="107"/>
      <c r="R228" s="8"/>
      <c r="S228" s="8"/>
      <c r="T228" s="8"/>
      <c r="U228" s="8"/>
      <c r="V228" s="8"/>
      <c r="W228" s="8"/>
      <c r="X228" s="8"/>
    </row>
    <row r="229" spans="1:24" ht="15.75" customHeight="1">
      <c r="A229" s="36"/>
      <c r="B229" s="36"/>
      <c r="C229" s="36"/>
      <c r="D229" s="110"/>
      <c r="E229" s="110"/>
      <c r="F229" s="110"/>
      <c r="G229" s="36"/>
      <c r="H229" s="107"/>
      <c r="I229" s="107"/>
      <c r="J229" s="107"/>
      <c r="K229" s="107"/>
      <c r="L229" s="107"/>
      <c r="M229" s="107"/>
      <c r="N229" s="107"/>
      <c r="O229" s="107"/>
      <c r="P229" s="107"/>
      <c r="Q229" s="107"/>
      <c r="R229" s="8"/>
      <c r="S229" s="8"/>
      <c r="T229" s="8"/>
      <c r="U229" s="8"/>
      <c r="V229" s="8"/>
      <c r="W229" s="8"/>
      <c r="X229" s="8"/>
    </row>
    <row r="230" spans="1:24" ht="15.75" customHeight="1">
      <c r="A230" s="36"/>
      <c r="B230" s="36"/>
      <c r="C230" s="36"/>
      <c r="D230" s="110"/>
      <c r="E230" s="110"/>
      <c r="F230" s="110"/>
      <c r="G230" s="36"/>
      <c r="H230" s="107"/>
      <c r="I230" s="107"/>
      <c r="J230" s="107"/>
      <c r="K230" s="107"/>
      <c r="L230" s="107"/>
      <c r="M230" s="107"/>
      <c r="N230" s="107"/>
      <c r="O230" s="107"/>
      <c r="P230" s="107"/>
      <c r="Q230" s="107"/>
      <c r="R230" s="8"/>
      <c r="S230" s="8"/>
      <c r="T230" s="8"/>
      <c r="U230" s="8"/>
      <c r="V230" s="8"/>
      <c r="W230" s="8"/>
      <c r="X230" s="8"/>
    </row>
    <row r="231" spans="1:24" ht="15.75" customHeight="1">
      <c r="A231" s="36"/>
      <c r="B231" s="36"/>
      <c r="C231" s="36"/>
      <c r="D231" s="110"/>
      <c r="E231" s="110"/>
      <c r="F231" s="110"/>
      <c r="G231" s="36"/>
      <c r="H231" s="107"/>
      <c r="I231" s="107"/>
      <c r="J231" s="107"/>
      <c r="K231" s="107"/>
      <c r="L231" s="107"/>
      <c r="M231" s="107"/>
      <c r="N231" s="107"/>
      <c r="O231" s="107"/>
      <c r="P231" s="107"/>
      <c r="Q231" s="107"/>
      <c r="R231" s="8"/>
      <c r="S231" s="8"/>
      <c r="T231" s="8"/>
      <c r="U231" s="8"/>
      <c r="V231" s="8"/>
      <c r="W231" s="8"/>
      <c r="X231" s="8"/>
    </row>
    <row r="232" spans="1:24" ht="15.75" customHeight="1">
      <c r="A232" s="36"/>
      <c r="B232" s="36"/>
      <c r="C232" s="36"/>
      <c r="D232" s="110"/>
      <c r="E232" s="110"/>
      <c r="F232" s="110"/>
      <c r="G232" s="36"/>
      <c r="H232" s="107"/>
      <c r="I232" s="107"/>
      <c r="J232" s="107"/>
      <c r="K232" s="107"/>
      <c r="L232" s="107"/>
      <c r="M232" s="107"/>
      <c r="N232" s="107"/>
      <c r="O232" s="107"/>
      <c r="P232" s="107"/>
      <c r="Q232" s="107"/>
      <c r="R232" s="8"/>
      <c r="S232" s="8"/>
      <c r="T232" s="8"/>
      <c r="U232" s="8"/>
      <c r="V232" s="8"/>
      <c r="W232" s="8"/>
      <c r="X232" s="8"/>
    </row>
    <row r="233" spans="1:24" ht="15.75" customHeight="1">
      <c r="A233" s="36"/>
      <c r="B233" s="36"/>
      <c r="C233" s="36"/>
      <c r="D233" s="110"/>
      <c r="E233" s="110"/>
      <c r="F233" s="110"/>
      <c r="G233" s="36"/>
      <c r="H233" s="107"/>
      <c r="I233" s="107"/>
      <c r="J233" s="107"/>
      <c r="K233" s="107"/>
      <c r="L233" s="107"/>
      <c r="M233" s="107"/>
      <c r="N233" s="107"/>
      <c r="O233" s="107"/>
      <c r="P233" s="107"/>
      <c r="Q233" s="107"/>
      <c r="R233" s="8"/>
      <c r="S233" s="8"/>
      <c r="T233" s="8"/>
      <c r="U233" s="8"/>
      <c r="V233" s="8"/>
      <c r="W233" s="8"/>
      <c r="X233" s="8"/>
    </row>
    <row r="234" spans="1:24" ht="15.75" customHeight="1">
      <c r="A234" s="36"/>
      <c r="B234" s="36"/>
      <c r="C234" s="36"/>
      <c r="D234" s="110"/>
      <c r="E234" s="110"/>
      <c r="F234" s="110"/>
      <c r="G234" s="36"/>
      <c r="H234" s="107"/>
      <c r="I234" s="107"/>
      <c r="J234" s="107"/>
      <c r="K234" s="107"/>
      <c r="L234" s="107"/>
      <c r="M234" s="107"/>
      <c r="N234" s="107"/>
      <c r="O234" s="107"/>
      <c r="P234" s="107"/>
      <c r="Q234" s="107"/>
      <c r="R234" s="8"/>
      <c r="S234" s="8"/>
      <c r="T234" s="8"/>
      <c r="U234" s="8"/>
      <c r="V234" s="8"/>
      <c r="W234" s="8"/>
      <c r="X234" s="8"/>
    </row>
    <row r="235" spans="1:24" ht="15.75" customHeight="1">
      <c r="A235" s="36"/>
      <c r="B235" s="36"/>
      <c r="C235" s="36"/>
      <c r="D235" s="110"/>
      <c r="E235" s="110"/>
      <c r="F235" s="110"/>
      <c r="G235" s="36"/>
      <c r="H235" s="107"/>
      <c r="I235" s="107"/>
      <c r="J235" s="107"/>
      <c r="K235" s="107"/>
      <c r="L235" s="107"/>
      <c r="M235" s="107"/>
      <c r="N235" s="107"/>
      <c r="O235" s="107"/>
      <c r="P235" s="107"/>
      <c r="Q235" s="107"/>
      <c r="R235" s="8"/>
      <c r="S235" s="8"/>
      <c r="T235" s="8"/>
      <c r="U235" s="8"/>
      <c r="V235" s="8"/>
      <c r="W235" s="8"/>
      <c r="X235" s="8"/>
    </row>
    <row r="236" spans="1:24" ht="15.75" customHeight="1">
      <c r="A236" s="36"/>
      <c r="B236" s="36"/>
      <c r="C236" s="36"/>
      <c r="D236" s="110"/>
      <c r="E236" s="110"/>
      <c r="F236" s="110"/>
      <c r="G236" s="36"/>
      <c r="H236" s="107"/>
      <c r="I236" s="107"/>
      <c r="J236" s="107"/>
      <c r="K236" s="107"/>
      <c r="L236" s="107"/>
      <c r="M236" s="107"/>
      <c r="N236" s="107"/>
      <c r="O236" s="107"/>
      <c r="P236" s="107"/>
      <c r="Q236" s="107"/>
      <c r="R236" s="8"/>
      <c r="S236" s="8"/>
      <c r="T236" s="8"/>
      <c r="U236" s="8"/>
      <c r="V236" s="8"/>
      <c r="W236" s="8"/>
      <c r="X236" s="8"/>
    </row>
    <row r="237" spans="1:24" ht="15.75" customHeight="1">
      <c r="A237" s="36"/>
      <c r="B237" s="36"/>
      <c r="C237" s="36"/>
      <c r="D237" s="110"/>
      <c r="E237" s="110"/>
      <c r="F237" s="110"/>
      <c r="G237" s="36"/>
      <c r="H237" s="107"/>
      <c r="I237" s="107"/>
      <c r="J237" s="107"/>
      <c r="K237" s="107"/>
      <c r="L237" s="107"/>
      <c r="M237" s="107"/>
      <c r="N237" s="107"/>
      <c r="O237" s="107"/>
      <c r="P237" s="107"/>
      <c r="Q237" s="107"/>
      <c r="R237" s="8"/>
      <c r="S237" s="8"/>
      <c r="T237" s="8"/>
      <c r="U237" s="8"/>
      <c r="V237" s="8"/>
      <c r="W237" s="8"/>
      <c r="X237" s="8"/>
    </row>
    <row r="238" spans="1:24" ht="15.75" customHeight="1">
      <c r="A238" s="36"/>
      <c r="B238" s="36"/>
      <c r="C238" s="36"/>
      <c r="D238" s="110"/>
      <c r="E238" s="110"/>
      <c r="F238" s="110"/>
      <c r="G238" s="36"/>
      <c r="H238" s="107"/>
      <c r="I238" s="107"/>
      <c r="J238" s="107"/>
      <c r="K238" s="107"/>
      <c r="L238" s="107"/>
      <c r="M238" s="107"/>
      <c r="N238" s="107"/>
      <c r="O238" s="107"/>
      <c r="P238" s="107"/>
      <c r="Q238" s="107"/>
      <c r="R238" s="8"/>
      <c r="S238" s="8"/>
      <c r="T238" s="8"/>
      <c r="U238" s="8"/>
      <c r="V238" s="8"/>
      <c r="W238" s="8"/>
      <c r="X238" s="8"/>
    </row>
    <row r="239" spans="1:24" ht="15.75" customHeight="1">
      <c r="A239" s="36"/>
      <c r="B239" s="36"/>
      <c r="C239" s="36"/>
      <c r="D239" s="110"/>
      <c r="E239" s="110"/>
      <c r="F239" s="110"/>
      <c r="G239" s="36"/>
      <c r="H239" s="107"/>
      <c r="I239" s="107"/>
      <c r="J239" s="107"/>
      <c r="K239" s="107"/>
      <c r="L239" s="107"/>
      <c r="M239" s="107"/>
      <c r="N239" s="107"/>
      <c r="O239" s="107"/>
      <c r="P239" s="107"/>
      <c r="Q239" s="107"/>
      <c r="R239" s="8"/>
      <c r="S239" s="8"/>
      <c r="T239" s="8"/>
      <c r="U239" s="8"/>
      <c r="V239" s="8"/>
      <c r="W239" s="8"/>
      <c r="X239" s="8"/>
    </row>
    <row r="240" spans="1:24" ht="15.75" customHeight="1">
      <c r="A240" s="36"/>
      <c r="B240" s="36"/>
      <c r="C240" s="36"/>
      <c r="D240" s="110"/>
      <c r="E240" s="110"/>
      <c r="F240" s="110"/>
      <c r="G240" s="36"/>
      <c r="H240" s="107"/>
      <c r="I240" s="107"/>
      <c r="J240" s="107"/>
      <c r="K240" s="107"/>
      <c r="L240" s="107"/>
      <c r="M240" s="107"/>
      <c r="N240" s="107"/>
      <c r="O240" s="107"/>
      <c r="P240" s="107"/>
      <c r="Q240" s="107"/>
      <c r="R240" s="8"/>
      <c r="S240" s="8"/>
      <c r="T240" s="8"/>
      <c r="U240" s="8"/>
      <c r="V240" s="8"/>
      <c r="W240" s="8"/>
      <c r="X240" s="8"/>
    </row>
    <row r="241" spans="1:24" ht="15.75" customHeight="1">
      <c r="A241" s="36"/>
      <c r="B241" s="36"/>
      <c r="C241" s="36"/>
      <c r="D241" s="110"/>
      <c r="E241" s="110"/>
      <c r="F241" s="110"/>
      <c r="G241" s="36"/>
      <c r="H241" s="107"/>
      <c r="I241" s="107"/>
      <c r="J241" s="107"/>
      <c r="K241" s="107"/>
      <c r="L241" s="107"/>
      <c r="M241" s="107"/>
      <c r="N241" s="107"/>
      <c r="O241" s="107"/>
      <c r="P241" s="107"/>
      <c r="Q241" s="107"/>
      <c r="R241" s="8"/>
      <c r="S241" s="8"/>
      <c r="T241" s="8"/>
      <c r="U241" s="8"/>
      <c r="V241" s="8"/>
      <c r="W241" s="8"/>
      <c r="X241" s="8"/>
    </row>
    <row r="242" spans="1:24" ht="15.75" customHeight="1">
      <c r="A242" s="36"/>
      <c r="B242" s="36"/>
      <c r="C242" s="36"/>
      <c r="D242" s="110"/>
      <c r="E242" s="110"/>
      <c r="F242" s="110"/>
      <c r="G242" s="36"/>
      <c r="H242" s="107"/>
      <c r="I242" s="107"/>
      <c r="J242" s="107"/>
      <c r="K242" s="107"/>
      <c r="L242" s="107"/>
      <c r="M242" s="107"/>
      <c r="N242" s="107"/>
      <c r="O242" s="107"/>
      <c r="P242" s="107"/>
      <c r="Q242" s="107"/>
      <c r="R242" s="8"/>
      <c r="S242" s="8"/>
      <c r="T242" s="8"/>
      <c r="U242" s="8"/>
      <c r="V242" s="8"/>
      <c r="W242" s="8"/>
      <c r="X242" s="8"/>
    </row>
    <row r="243" spans="1:24" ht="15.75" customHeight="1">
      <c r="A243" s="36"/>
      <c r="B243" s="36"/>
      <c r="C243" s="36"/>
      <c r="D243" s="110"/>
      <c r="E243" s="110"/>
      <c r="F243" s="110"/>
      <c r="G243" s="36"/>
      <c r="H243" s="107"/>
      <c r="I243" s="107"/>
      <c r="J243" s="107"/>
      <c r="K243" s="107"/>
      <c r="L243" s="107"/>
      <c r="M243" s="107"/>
      <c r="N243" s="107"/>
      <c r="O243" s="107"/>
      <c r="P243" s="107"/>
      <c r="Q243" s="107"/>
      <c r="R243" s="8"/>
      <c r="S243" s="8"/>
      <c r="T243" s="8"/>
      <c r="U243" s="8"/>
      <c r="V243" s="8"/>
      <c r="W243" s="8"/>
      <c r="X243" s="8"/>
    </row>
    <row r="244" spans="1:24" ht="15.75" customHeight="1">
      <c r="A244" s="36"/>
      <c r="B244" s="36"/>
      <c r="C244" s="36"/>
      <c r="D244" s="110"/>
      <c r="E244" s="110"/>
      <c r="F244" s="110"/>
      <c r="G244" s="36"/>
      <c r="H244" s="107"/>
      <c r="I244" s="107"/>
      <c r="J244" s="107"/>
      <c r="K244" s="107"/>
      <c r="L244" s="107"/>
      <c r="M244" s="107"/>
      <c r="N244" s="107"/>
      <c r="O244" s="107"/>
      <c r="P244" s="107"/>
      <c r="Q244" s="107"/>
      <c r="R244" s="8"/>
      <c r="S244" s="8"/>
      <c r="T244" s="8"/>
      <c r="U244" s="8"/>
      <c r="V244" s="8"/>
      <c r="W244" s="8"/>
      <c r="X244" s="8"/>
    </row>
    <row r="245" spans="1:24" ht="15.75" customHeight="1">
      <c r="A245" s="36"/>
      <c r="B245" s="36"/>
      <c r="C245" s="36"/>
      <c r="D245" s="110"/>
      <c r="E245" s="110"/>
      <c r="F245" s="110"/>
      <c r="G245" s="36"/>
      <c r="H245" s="107"/>
      <c r="I245" s="107"/>
      <c r="J245" s="107"/>
      <c r="K245" s="107"/>
      <c r="L245" s="107"/>
      <c r="M245" s="107"/>
      <c r="N245" s="107"/>
      <c r="O245" s="107"/>
      <c r="P245" s="107"/>
      <c r="Q245" s="107"/>
      <c r="R245" s="8"/>
      <c r="S245" s="8"/>
      <c r="T245" s="8"/>
      <c r="U245" s="8"/>
      <c r="V245" s="8"/>
      <c r="W245" s="8"/>
      <c r="X245" s="8"/>
    </row>
    <row r="246" spans="1:24" ht="15.75" customHeight="1">
      <c r="A246" s="36"/>
      <c r="B246" s="36"/>
      <c r="C246" s="36"/>
      <c r="D246" s="110"/>
      <c r="E246" s="110"/>
      <c r="F246" s="110"/>
      <c r="G246" s="36"/>
      <c r="H246" s="107"/>
      <c r="I246" s="107"/>
      <c r="J246" s="107"/>
      <c r="K246" s="107"/>
      <c r="L246" s="107"/>
      <c r="M246" s="107"/>
      <c r="N246" s="107"/>
      <c r="O246" s="107"/>
      <c r="P246" s="107"/>
      <c r="Q246" s="107"/>
      <c r="R246" s="8"/>
      <c r="S246" s="8"/>
      <c r="T246" s="8"/>
      <c r="U246" s="8"/>
      <c r="V246" s="8"/>
      <c r="W246" s="8"/>
      <c r="X246" s="8"/>
    </row>
    <row r="247" spans="1:24" ht="15.75" customHeight="1">
      <c r="A247" s="36"/>
      <c r="B247" s="36"/>
      <c r="C247" s="36"/>
      <c r="D247" s="110"/>
      <c r="E247" s="110"/>
      <c r="F247" s="110"/>
      <c r="G247" s="36"/>
      <c r="H247" s="107"/>
      <c r="I247" s="107"/>
      <c r="J247" s="107"/>
      <c r="K247" s="107"/>
      <c r="L247" s="107"/>
      <c r="M247" s="107"/>
      <c r="N247" s="107"/>
      <c r="O247" s="107"/>
      <c r="P247" s="107"/>
      <c r="Q247" s="107"/>
      <c r="R247" s="8"/>
      <c r="S247" s="8"/>
      <c r="T247" s="8"/>
      <c r="U247" s="8"/>
      <c r="V247" s="8"/>
      <c r="W247" s="8"/>
      <c r="X247" s="8"/>
    </row>
    <row r="248" spans="1:24" ht="15.75" customHeight="1">
      <c r="A248" s="36"/>
      <c r="B248" s="36"/>
      <c r="C248" s="36"/>
      <c r="D248" s="110"/>
      <c r="E248" s="110"/>
      <c r="F248" s="110"/>
      <c r="G248" s="36"/>
      <c r="H248" s="107"/>
      <c r="I248" s="107"/>
      <c r="J248" s="107"/>
      <c r="K248" s="107"/>
      <c r="L248" s="107"/>
      <c r="M248" s="107"/>
      <c r="N248" s="107"/>
      <c r="O248" s="107"/>
      <c r="P248" s="107"/>
      <c r="Q248" s="107"/>
      <c r="R248" s="8"/>
      <c r="S248" s="8"/>
      <c r="T248" s="8"/>
      <c r="U248" s="8"/>
      <c r="V248" s="8"/>
      <c r="W248" s="8"/>
      <c r="X248" s="8"/>
    </row>
    <row r="249" spans="1:24" ht="15.75" customHeight="1">
      <c r="A249" s="36"/>
      <c r="B249" s="36"/>
      <c r="C249" s="36"/>
      <c r="D249" s="110"/>
      <c r="E249" s="110"/>
      <c r="F249" s="110"/>
      <c r="G249" s="36"/>
      <c r="H249" s="107"/>
      <c r="I249" s="107"/>
      <c r="J249" s="107"/>
      <c r="K249" s="107"/>
      <c r="L249" s="107"/>
      <c r="M249" s="107"/>
      <c r="N249" s="107"/>
      <c r="O249" s="107"/>
      <c r="P249" s="107"/>
      <c r="Q249" s="107"/>
      <c r="R249" s="8"/>
      <c r="S249" s="8"/>
      <c r="T249" s="8"/>
      <c r="U249" s="8"/>
      <c r="V249" s="8"/>
      <c r="W249" s="8"/>
      <c r="X249" s="8"/>
    </row>
    <row r="250" spans="1:24" ht="15.75" customHeight="1">
      <c r="A250" s="36"/>
      <c r="B250" s="36"/>
      <c r="C250" s="36"/>
      <c r="D250" s="110"/>
      <c r="E250" s="110"/>
      <c r="F250" s="110"/>
      <c r="G250" s="36"/>
      <c r="H250" s="107"/>
      <c r="I250" s="107"/>
      <c r="J250" s="107"/>
      <c r="K250" s="107"/>
      <c r="L250" s="107"/>
      <c r="M250" s="107"/>
      <c r="N250" s="107"/>
      <c r="O250" s="107"/>
      <c r="P250" s="107"/>
      <c r="Q250" s="107"/>
      <c r="R250" s="8"/>
      <c r="S250" s="8"/>
      <c r="T250" s="8"/>
      <c r="U250" s="8"/>
      <c r="V250" s="8"/>
      <c r="W250" s="8"/>
      <c r="X250" s="8"/>
    </row>
    <row r="251" spans="1:24" ht="15.75" customHeight="1">
      <c r="A251" s="36"/>
      <c r="B251" s="36"/>
      <c r="C251" s="36"/>
      <c r="D251" s="110"/>
      <c r="E251" s="110"/>
      <c r="F251" s="110"/>
      <c r="G251" s="36"/>
      <c r="H251" s="107"/>
      <c r="I251" s="107"/>
      <c r="J251" s="107"/>
      <c r="K251" s="107"/>
      <c r="L251" s="107"/>
      <c r="M251" s="107"/>
      <c r="N251" s="107"/>
      <c r="O251" s="107"/>
      <c r="P251" s="107"/>
      <c r="Q251" s="107"/>
      <c r="R251" s="8"/>
      <c r="S251" s="8"/>
      <c r="T251" s="8"/>
      <c r="U251" s="8"/>
      <c r="V251" s="8"/>
      <c r="W251" s="8"/>
      <c r="X251" s="8"/>
    </row>
    <row r="252" spans="1:24" ht="15.75" customHeight="1">
      <c r="A252" s="36"/>
      <c r="B252" s="36"/>
      <c r="C252" s="36"/>
      <c r="D252" s="110"/>
      <c r="E252" s="110"/>
      <c r="F252" s="110"/>
      <c r="G252" s="36"/>
      <c r="H252" s="107"/>
      <c r="I252" s="107"/>
      <c r="J252" s="107"/>
      <c r="K252" s="107"/>
      <c r="L252" s="107"/>
      <c r="M252" s="107"/>
      <c r="N252" s="107"/>
      <c r="O252" s="107"/>
      <c r="P252" s="107"/>
      <c r="Q252" s="107"/>
      <c r="R252" s="8"/>
      <c r="S252" s="8"/>
      <c r="T252" s="8"/>
      <c r="U252" s="8"/>
      <c r="V252" s="8"/>
      <c r="W252" s="8"/>
      <c r="X252" s="8"/>
    </row>
    <row r="253" spans="1:24" ht="15.75" customHeight="1">
      <c r="A253" s="36"/>
      <c r="B253" s="36"/>
      <c r="C253" s="36"/>
      <c r="D253" s="110"/>
      <c r="E253" s="110"/>
      <c r="F253" s="110"/>
      <c r="G253" s="36"/>
      <c r="H253" s="107"/>
      <c r="I253" s="107"/>
      <c r="J253" s="107"/>
      <c r="K253" s="107"/>
      <c r="L253" s="107"/>
      <c r="M253" s="107"/>
      <c r="N253" s="107"/>
      <c r="O253" s="107"/>
      <c r="P253" s="107"/>
      <c r="Q253" s="107"/>
      <c r="R253" s="8"/>
      <c r="S253" s="8"/>
      <c r="T253" s="8"/>
      <c r="U253" s="8"/>
      <c r="V253" s="8"/>
      <c r="W253" s="8"/>
      <c r="X253" s="8"/>
    </row>
    <row r="254" spans="1:24" ht="15.75" customHeight="1">
      <c r="A254" s="36"/>
      <c r="B254" s="36"/>
      <c r="C254" s="36"/>
      <c r="D254" s="110"/>
      <c r="E254" s="110"/>
      <c r="F254" s="110"/>
      <c r="G254" s="36"/>
      <c r="H254" s="107"/>
      <c r="I254" s="107"/>
      <c r="J254" s="107"/>
      <c r="K254" s="107"/>
      <c r="L254" s="107"/>
      <c r="M254" s="107"/>
      <c r="N254" s="107"/>
      <c r="O254" s="107"/>
      <c r="P254" s="107"/>
      <c r="Q254" s="107"/>
      <c r="R254" s="8"/>
      <c r="S254" s="8"/>
      <c r="T254" s="8"/>
      <c r="U254" s="8"/>
      <c r="V254" s="8"/>
      <c r="W254" s="8"/>
      <c r="X254" s="8"/>
    </row>
    <row r="255" spans="1:24" ht="15.75" customHeight="1">
      <c r="A255" s="36"/>
      <c r="B255" s="36"/>
      <c r="C255" s="36"/>
      <c r="D255" s="110"/>
      <c r="E255" s="110"/>
      <c r="F255" s="110"/>
      <c r="G255" s="36"/>
      <c r="H255" s="107"/>
      <c r="I255" s="107"/>
      <c r="J255" s="107"/>
      <c r="K255" s="107"/>
      <c r="L255" s="107"/>
      <c r="M255" s="107"/>
      <c r="N255" s="107"/>
      <c r="O255" s="107"/>
      <c r="P255" s="107"/>
      <c r="Q255" s="107"/>
      <c r="R255" s="8"/>
      <c r="S255" s="8"/>
      <c r="T255" s="8"/>
      <c r="U255" s="8"/>
      <c r="V255" s="8"/>
      <c r="W255" s="8"/>
      <c r="X255" s="8"/>
    </row>
    <row r="256" spans="1:24" ht="15.75" customHeight="1">
      <c r="A256" s="36"/>
      <c r="B256" s="36"/>
      <c r="C256" s="36"/>
      <c r="D256" s="110"/>
      <c r="E256" s="110"/>
      <c r="F256" s="110"/>
      <c r="G256" s="36"/>
      <c r="H256" s="107"/>
      <c r="I256" s="107"/>
      <c r="J256" s="107"/>
      <c r="K256" s="107"/>
      <c r="L256" s="107"/>
      <c r="M256" s="107"/>
      <c r="N256" s="107"/>
      <c r="O256" s="107"/>
      <c r="P256" s="107"/>
      <c r="Q256" s="107"/>
      <c r="R256" s="8"/>
      <c r="S256" s="8"/>
      <c r="T256" s="8"/>
      <c r="U256" s="8"/>
      <c r="V256" s="8"/>
      <c r="W256" s="8"/>
      <c r="X256" s="8"/>
    </row>
    <row r="257" spans="1:24" ht="15.75" customHeight="1">
      <c r="A257" s="36"/>
      <c r="B257" s="36"/>
      <c r="C257" s="36"/>
      <c r="D257" s="110"/>
      <c r="E257" s="110"/>
      <c r="F257" s="110"/>
      <c r="G257" s="36"/>
      <c r="H257" s="107"/>
      <c r="I257" s="107"/>
      <c r="J257" s="107"/>
      <c r="K257" s="107"/>
      <c r="L257" s="107"/>
      <c r="M257" s="107"/>
      <c r="N257" s="107"/>
      <c r="O257" s="107"/>
      <c r="P257" s="107"/>
      <c r="Q257" s="107"/>
      <c r="R257" s="8"/>
      <c r="S257" s="8"/>
      <c r="T257" s="8"/>
      <c r="U257" s="8"/>
      <c r="V257" s="8"/>
      <c r="W257" s="8"/>
      <c r="X257" s="8"/>
    </row>
    <row r="258" spans="1:24" ht="15.75" customHeight="1">
      <c r="A258" s="36"/>
      <c r="B258" s="36"/>
      <c r="C258" s="36"/>
      <c r="D258" s="110"/>
      <c r="E258" s="110"/>
      <c r="F258" s="110"/>
      <c r="G258" s="36"/>
      <c r="H258" s="107"/>
      <c r="I258" s="107"/>
      <c r="J258" s="107"/>
      <c r="K258" s="107"/>
      <c r="L258" s="107"/>
      <c r="M258" s="107"/>
      <c r="N258" s="107"/>
      <c r="O258" s="107"/>
      <c r="P258" s="107"/>
      <c r="Q258" s="107"/>
      <c r="R258" s="8"/>
      <c r="S258" s="8"/>
      <c r="T258" s="8"/>
      <c r="U258" s="8"/>
      <c r="V258" s="8"/>
      <c r="W258" s="8"/>
      <c r="X258" s="8"/>
    </row>
    <row r="259" spans="1:24" ht="15.75" customHeight="1">
      <c r="A259" s="36"/>
      <c r="B259" s="36"/>
      <c r="C259" s="36"/>
      <c r="D259" s="110"/>
      <c r="E259" s="110"/>
      <c r="F259" s="110"/>
      <c r="G259" s="36"/>
      <c r="H259" s="107"/>
      <c r="I259" s="107"/>
      <c r="J259" s="107"/>
      <c r="K259" s="107"/>
      <c r="L259" s="107"/>
      <c r="M259" s="107"/>
      <c r="N259" s="107"/>
      <c r="O259" s="107"/>
      <c r="P259" s="107"/>
      <c r="Q259" s="107"/>
      <c r="R259" s="8"/>
      <c r="S259" s="8"/>
      <c r="T259" s="8"/>
      <c r="U259" s="8"/>
      <c r="V259" s="8"/>
      <c r="W259" s="8"/>
      <c r="X259" s="8"/>
    </row>
    <row r="260" spans="1:24" ht="15.75" customHeight="1">
      <c r="A260" s="36"/>
      <c r="B260" s="36"/>
      <c r="C260" s="36"/>
      <c r="D260" s="110"/>
      <c r="E260" s="110"/>
      <c r="F260" s="110"/>
      <c r="G260" s="36"/>
      <c r="H260" s="107"/>
      <c r="I260" s="107"/>
      <c r="J260" s="107"/>
      <c r="K260" s="107"/>
      <c r="L260" s="107"/>
      <c r="M260" s="107"/>
      <c r="N260" s="107"/>
      <c r="O260" s="107"/>
      <c r="P260" s="107"/>
      <c r="Q260" s="107"/>
      <c r="R260" s="8"/>
      <c r="S260" s="8"/>
      <c r="T260" s="8"/>
      <c r="U260" s="8"/>
      <c r="V260" s="8"/>
      <c r="W260" s="8"/>
      <c r="X260" s="8"/>
    </row>
    <row r="261" spans="1:24" ht="15.75" customHeight="1"/>
    <row r="262" spans="1:24" ht="15.75" customHeight="1"/>
    <row r="263" spans="1:24" ht="15.75" customHeight="1"/>
    <row r="264" spans="1:24" ht="15.75" customHeight="1"/>
    <row r="265" spans="1:24" ht="15.75" customHeight="1"/>
    <row r="266" spans="1:24" ht="15.75" customHeight="1"/>
    <row r="267" spans="1:24" ht="15.75" customHeight="1"/>
    <row r="268" spans="1:24" ht="15.75" customHeight="1"/>
    <row r="269" spans="1:24" ht="15.75" customHeight="1"/>
    <row r="270" spans="1:24" ht="15.75" customHeight="1"/>
    <row r="271" spans="1:24" ht="15.75" customHeight="1"/>
    <row r="272" spans="1:24"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F2"/>
  </mergeCells>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985E9"/>
    <outlinePr summaryBelow="0" summaryRight="0"/>
  </sheetPr>
  <dimension ref="A1:BB153"/>
  <sheetViews>
    <sheetView showGridLines="0" tabSelected="1" workbookViewId="0">
      <pane ySplit="1" topLeftCell="A3" activePane="bottomLeft" state="frozen"/>
      <selection pane="bottomLeft" activeCell="BJ152" sqref="BJ152"/>
    </sheetView>
  </sheetViews>
  <sheetFormatPr defaultColWidth="12.59765625" defaultRowHeight="15" customHeight="1"/>
  <cols>
    <col min="1" max="1" width="6" hidden="1" customWidth="1"/>
    <col min="2" max="2" width="11.09765625" hidden="1" customWidth="1"/>
    <col min="3" max="3" width="11" customWidth="1"/>
    <col min="4" max="4" width="10.09765625" hidden="1" customWidth="1"/>
    <col min="5" max="5" width="11.3984375" hidden="1" customWidth="1"/>
    <col min="6" max="6" width="11.59765625" hidden="1" customWidth="1"/>
    <col min="7" max="7" width="24.59765625" hidden="1" customWidth="1"/>
    <col min="8" max="8" width="9.5" hidden="1" customWidth="1"/>
    <col min="9" max="9" width="13.09765625" hidden="1" customWidth="1"/>
    <col min="10" max="10" width="17.3984375" hidden="1" customWidth="1"/>
    <col min="11" max="11" width="23.59765625" hidden="1" customWidth="1"/>
    <col min="12" max="12" width="16.3984375" hidden="1" customWidth="1"/>
    <col min="13" max="13" width="6.8984375" hidden="1" customWidth="1"/>
    <col min="14" max="14" width="11.3984375" hidden="1" customWidth="1"/>
    <col min="15" max="22" width="14" hidden="1" customWidth="1"/>
    <col min="23" max="23" width="14" customWidth="1"/>
    <col min="24" max="24" width="19" hidden="1" customWidth="1"/>
    <col min="25" max="26" width="23.59765625" hidden="1" customWidth="1"/>
    <col min="27" max="27" width="18.3984375" hidden="1" customWidth="1"/>
    <col min="28" max="28" width="21" hidden="1" customWidth="1"/>
    <col min="29" max="29" width="20" hidden="1" customWidth="1"/>
    <col min="30" max="30" width="17.5" hidden="1" customWidth="1"/>
    <col min="31" max="31" width="16.59765625" hidden="1" customWidth="1"/>
    <col min="32" max="32" width="24.59765625" hidden="1" customWidth="1"/>
    <col min="33" max="33" width="25.09765625" hidden="1" customWidth="1"/>
    <col min="34" max="34" width="21" hidden="1" customWidth="1"/>
    <col min="35" max="38" width="22" hidden="1" customWidth="1"/>
    <col min="39" max="39" width="17.8984375" hidden="1" customWidth="1"/>
    <col min="40" max="40" width="18.59765625" hidden="1" customWidth="1"/>
    <col min="41" max="41" width="23.5" hidden="1" customWidth="1"/>
    <col min="42" max="46" width="22.3984375" hidden="1" customWidth="1"/>
    <col min="47" max="47" width="19.3984375" hidden="1" customWidth="1"/>
    <col min="48" max="48" width="20.59765625" hidden="1" customWidth="1"/>
    <col min="49" max="49" width="20.09765625" customWidth="1"/>
    <col min="50" max="50" width="14" hidden="1" customWidth="1"/>
    <col min="51" max="52" width="12.8984375" hidden="1" customWidth="1"/>
    <col min="53" max="53" width="20.5" hidden="1" customWidth="1"/>
    <col min="54" max="54" width="20.09765625" hidden="1" customWidth="1"/>
    <col min="55" max="58" width="0" hidden="1" customWidth="1"/>
  </cols>
  <sheetData>
    <row r="1" spans="1:54" ht="42.6" customHeight="1">
      <c r="A1" s="111" t="s">
        <v>33</v>
      </c>
      <c r="B1" s="112" t="s">
        <v>100</v>
      </c>
      <c r="C1" s="113" t="s">
        <v>101</v>
      </c>
      <c r="D1" s="114" t="s">
        <v>102</v>
      </c>
      <c r="E1" s="115" t="s">
        <v>103</v>
      </c>
      <c r="F1" s="112" t="s">
        <v>104</v>
      </c>
      <c r="G1" s="112" t="s">
        <v>105</v>
      </c>
      <c r="H1" s="114" t="s">
        <v>106</v>
      </c>
      <c r="I1" s="114" t="s">
        <v>107</v>
      </c>
      <c r="J1" s="114" t="s">
        <v>108</v>
      </c>
      <c r="K1" s="114" t="s">
        <v>109</v>
      </c>
      <c r="L1" s="114" t="s">
        <v>110</v>
      </c>
      <c r="M1" s="114" t="s">
        <v>111</v>
      </c>
      <c r="N1" s="116" t="s">
        <v>112</v>
      </c>
      <c r="O1" s="117" t="s">
        <v>113</v>
      </c>
      <c r="P1" s="114" t="s">
        <v>114</v>
      </c>
      <c r="Q1" s="114" t="s">
        <v>115</v>
      </c>
      <c r="R1" s="114" t="s">
        <v>116</v>
      </c>
      <c r="S1" s="114" t="s">
        <v>117</v>
      </c>
      <c r="T1" s="118" t="s">
        <v>118</v>
      </c>
      <c r="U1" s="114" t="s">
        <v>119</v>
      </c>
      <c r="V1" s="114" t="s">
        <v>120</v>
      </c>
      <c r="W1" s="119" t="s">
        <v>121</v>
      </c>
      <c r="X1" s="120" t="s">
        <v>122</v>
      </c>
      <c r="Y1" s="114" t="s">
        <v>123</v>
      </c>
      <c r="Z1" s="121" t="s">
        <v>124</v>
      </c>
      <c r="AA1" s="114" t="s">
        <v>125</v>
      </c>
      <c r="AB1" s="119" t="s">
        <v>126</v>
      </c>
      <c r="AC1" s="121" t="s">
        <v>127</v>
      </c>
      <c r="AD1" s="114" t="s">
        <v>128</v>
      </c>
      <c r="AE1" s="114" t="s">
        <v>129</v>
      </c>
      <c r="AF1" s="114" t="s">
        <v>130</v>
      </c>
      <c r="AG1" s="114" t="s">
        <v>131</v>
      </c>
      <c r="AH1" s="114" t="s">
        <v>132</v>
      </c>
      <c r="AI1" s="114" t="s">
        <v>133</v>
      </c>
      <c r="AJ1" s="114" t="s">
        <v>134</v>
      </c>
      <c r="AK1" s="119" t="s">
        <v>135</v>
      </c>
      <c r="AL1" s="114" t="s">
        <v>136</v>
      </c>
      <c r="AM1" s="114" t="s">
        <v>137</v>
      </c>
      <c r="AN1" s="114" t="s">
        <v>138</v>
      </c>
      <c r="AO1" s="114" t="s">
        <v>139</v>
      </c>
      <c r="AP1" s="114" t="s">
        <v>140</v>
      </c>
      <c r="AQ1" s="114" t="s">
        <v>141</v>
      </c>
      <c r="AR1" s="114" t="s">
        <v>67</v>
      </c>
      <c r="AS1" s="114" t="s">
        <v>68</v>
      </c>
      <c r="AT1" s="122" t="s">
        <v>142</v>
      </c>
      <c r="AU1" s="122" t="s">
        <v>143</v>
      </c>
      <c r="AV1" s="122" t="s">
        <v>144</v>
      </c>
      <c r="AW1" s="123" t="s">
        <v>145</v>
      </c>
      <c r="AX1" s="124" t="s">
        <v>146</v>
      </c>
      <c r="AY1" s="125" t="s">
        <v>147</v>
      </c>
      <c r="AZ1" s="125" t="s">
        <v>15</v>
      </c>
      <c r="BA1" s="126" t="s">
        <v>148</v>
      </c>
      <c r="BB1" s="127" t="s">
        <v>149</v>
      </c>
    </row>
    <row r="2" spans="1:54" ht="15.75" hidden="1" customHeight="1">
      <c r="A2" s="128" t="s">
        <v>150</v>
      </c>
      <c r="B2" s="128" t="s">
        <v>150</v>
      </c>
      <c r="C2" s="128" t="s">
        <v>150</v>
      </c>
      <c r="D2" s="128"/>
      <c r="E2" s="128"/>
      <c r="F2" s="128"/>
      <c r="G2" s="129"/>
      <c r="H2" s="128"/>
      <c r="I2" s="128"/>
      <c r="J2" s="128"/>
      <c r="K2" s="128"/>
      <c r="L2" s="128"/>
      <c r="M2" s="128"/>
      <c r="N2" s="128"/>
      <c r="O2" s="128"/>
      <c r="P2" s="128"/>
      <c r="Q2" s="128"/>
      <c r="R2" s="128"/>
      <c r="S2" s="128"/>
      <c r="T2" s="128"/>
      <c r="U2" s="128"/>
      <c r="V2" s="128"/>
      <c r="W2" s="128"/>
      <c r="X2" s="128"/>
      <c r="Y2" s="128"/>
      <c r="Z2" s="128"/>
      <c r="AA2" s="128"/>
      <c r="AB2" s="128"/>
      <c r="AC2" s="128"/>
      <c r="AD2" s="128"/>
      <c r="AE2" s="128"/>
      <c r="AF2" s="128"/>
      <c r="AG2" s="128"/>
      <c r="AH2" s="128"/>
      <c r="AI2" s="130"/>
      <c r="AJ2" s="130"/>
      <c r="AK2" s="130"/>
      <c r="AL2" s="128"/>
      <c r="AM2" s="128"/>
      <c r="AN2" s="128"/>
      <c r="AO2" s="128"/>
      <c r="AP2" s="128"/>
      <c r="AQ2" s="128"/>
      <c r="AR2" s="128"/>
      <c r="AS2" s="128"/>
      <c r="AT2" s="128"/>
      <c r="AU2" s="130"/>
      <c r="AV2" s="128"/>
      <c r="AW2" s="128"/>
      <c r="AX2" s="128"/>
      <c r="AY2" s="128"/>
      <c r="AZ2" s="130"/>
      <c r="BA2" s="128"/>
      <c r="BB2" s="131"/>
    </row>
    <row r="3" spans="1:54">
      <c r="A3" s="164" t="s">
        <v>41</v>
      </c>
      <c r="B3" s="164" t="s">
        <v>216</v>
      </c>
      <c r="C3" s="164" t="s">
        <v>217</v>
      </c>
      <c r="D3" s="164" t="s">
        <v>45</v>
      </c>
      <c r="E3" s="164" t="s">
        <v>218</v>
      </c>
      <c r="F3" s="164" t="s">
        <v>219</v>
      </c>
      <c r="G3" s="164" t="s">
        <v>220</v>
      </c>
      <c r="H3" s="164" t="s">
        <v>221</v>
      </c>
      <c r="I3" s="164" t="s">
        <v>222</v>
      </c>
      <c r="J3" s="164" t="s">
        <v>220</v>
      </c>
      <c r="K3" s="164" t="s">
        <v>220</v>
      </c>
      <c r="L3" s="164" t="s">
        <v>220</v>
      </c>
      <c r="M3" s="164" t="s">
        <v>223</v>
      </c>
      <c r="N3" s="164" t="s">
        <v>93</v>
      </c>
      <c r="O3" s="164">
        <v>392</v>
      </c>
      <c r="P3" s="164">
        <v>0</v>
      </c>
      <c r="Q3" s="164">
        <v>0</v>
      </c>
      <c r="R3" s="164">
        <v>0</v>
      </c>
      <c r="S3" s="164">
        <v>0</v>
      </c>
      <c r="T3" s="164">
        <v>0</v>
      </c>
      <c r="U3" s="164">
        <v>0</v>
      </c>
      <c r="V3" s="164">
        <v>19.600000000000001</v>
      </c>
      <c r="W3" s="164">
        <v>411.6</v>
      </c>
      <c r="X3" s="164">
        <v>392</v>
      </c>
      <c r="Y3" s="164">
        <v>22</v>
      </c>
      <c r="Z3" s="164">
        <v>86.24</v>
      </c>
      <c r="AA3" s="164">
        <v>7.57</v>
      </c>
      <c r="AB3" s="164">
        <v>93.81</v>
      </c>
      <c r="AC3" s="164">
        <v>16.88</v>
      </c>
      <c r="AD3" s="164">
        <v>0</v>
      </c>
      <c r="AE3" s="164">
        <v>392</v>
      </c>
      <c r="AF3" s="164">
        <v>0</v>
      </c>
      <c r="AG3" s="164">
        <v>0</v>
      </c>
      <c r="AH3" s="164">
        <v>0.39</v>
      </c>
      <c r="AI3" s="164">
        <v>19.600000000000001</v>
      </c>
      <c r="AJ3" s="164">
        <v>0</v>
      </c>
      <c r="AK3" s="164">
        <v>36.869999999999997</v>
      </c>
      <c r="AL3" s="164">
        <v>0</v>
      </c>
      <c r="AM3" s="164">
        <v>0</v>
      </c>
      <c r="AN3" s="164">
        <v>0</v>
      </c>
      <c r="AO3" s="164">
        <v>0</v>
      </c>
      <c r="AP3" s="164">
        <v>0</v>
      </c>
      <c r="AQ3" s="164">
        <v>0</v>
      </c>
      <c r="AR3" s="164">
        <v>0</v>
      </c>
      <c r="AS3" s="164">
        <v>0</v>
      </c>
      <c r="AT3" s="164">
        <v>0</v>
      </c>
      <c r="AU3" s="164">
        <v>130.68</v>
      </c>
      <c r="AV3" s="164">
        <v>0</v>
      </c>
      <c r="AW3" s="164">
        <v>280.92</v>
      </c>
      <c r="AX3" s="164" t="s">
        <v>224</v>
      </c>
      <c r="AY3" s="164" t="s">
        <v>225</v>
      </c>
      <c r="AZ3" s="164" t="s">
        <v>226</v>
      </c>
      <c r="BA3" s="164">
        <v>0</v>
      </c>
      <c r="BB3" s="164" t="s">
        <v>227</v>
      </c>
    </row>
    <row r="4" spans="1:54">
      <c r="A4" s="164" t="s">
        <v>42</v>
      </c>
      <c r="B4" s="164" t="s">
        <v>228</v>
      </c>
      <c r="C4" s="164" t="s">
        <v>229</v>
      </c>
      <c r="D4" s="164" t="s">
        <v>45</v>
      </c>
      <c r="E4" s="164" t="s">
        <v>218</v>
      </c>
      <c r="F4" s="164" t="s">
        <v>219</v>
      </c>
      <c r="G4" s="164" t="s">
        <v>220</v>
      </c>
      <c r="H4" s="164" t="s">
        <v>221</v>
      </c>
      <c r="I4" s="164" t="s">
        <v>222</v>
      </c>
      <c r="J4" s="164" t="s">
        <v>220</v>
      </c>
      <c r="K4" s="164" t="s">
        <v>220</v>
      </c>
      <c r="L4" s="164" t="s">
        <v>220</v>
      </c>
      <c r="M4" s="164" t="s">
        <v>223</v>
      </c>
      <c r="N4" s="164" t="s">
        <v>93</v>
      </c>
      <c r="O4" s="164">
        <v>882</v>
      </c>
      <c r="P4" s="164">
        <v>0</v>
      </c>
      <c r="Q4" s="164">
        <v>0</v>
      </c>
      <c r="R4" s="164">
        <v>0</v>
      </c>
      <c r="S4" s="164">
        <v>0</v>
      </c>
      <c r="T4" s="164">
        <v>0</v>
      </c>
      <c r="U4" s="164">
        <v>0</v>
      </c>
      <c r="V4" s="164">
        <v>44.1</v>
      </c>
      <c r="W4" s="164">
        <v>926.1</v>
      </c>
      <c r="X4" s="164">
        <v>882</v>
      </c>
      <c r="Y4" s="164">
        <v>22</v>
      </c>
      <c r="Z4" s="164">
        <v>194.04</v>
      </c>
      <c r="AA4" s="164">
        <v>17.04</v>
      </c>
      <c r="AB4" s="164">
        <v>211.08</v>
      </c>
      <c r="AC4" s="164">
        <v>38</v>
      </c>
      <c r="AD4" s="164">
        <v>0</v>
      </c>
      <c r="AE4" s="164">
        <v>882</v>
      </c>
      <c r="AF4" s="164">
        <v>0</v>
      </c>
      <c r="AG4" s="164">
        <v>0</v>
      </c>
      <c r="AH4" s="164">
        <v>0.88</v>
      </c>
      <c r="AI4" s="164">
        <v>44.1</v>
      </c>
      <c r="AJ4" s="164">
        <v>0</v>
      </c>
      <c r="AK4" s="164">
        <v>82.98</v>
      </c>
      <c r="AL4" s="164">
        <v>0</v>
      </c>
      <c r="AM4" s="164">
        <v>0</v>
      </c>
      <c r="AN4" s="164">
        <v>0</v>
      </c>
      <c r="AO4" s="164">
        <v>0</v>
      </c>
      <c r="AP4" s="164">
        <v>0</v>
      </c>
      <c r="AQ4" s="164">
        <v>0</v>
      </c>
      <c r="AR4" s="164">
        <v>0</v>
      </c>
      <c r="AS4" s="164">
        <v>0</v>
      </c>
      <c r="AT4" s="164">
        <v>0</v>
      </c>
      <c r="AU4" s="164">
        <v>294.06</v>
      </c>
      <c r="AV4" s="164">
        <v>0</v>
      </c>
      <c r="AW4" s="164">
        <v>632.04</v>
      </c>
      <c r="AX4" s="164" t="s">
        <v>224</v>
      </c>
      <c r="AY4" s="164" t="s">
        <v>225</v>
      </c>
      <c r="AZ4" s="164" t="s">
        <v>226</v>
      </c>
      <c r="BA4" s="164">
        <v>0</v>
      </c>
      <c r="BB4" s="164" t="s">
        <v>230</v>
      </c>
    </row>
    <row r="5" spans="1:54">
      <c r="A5" s="164" t="s">
        <v>43</v>
      </c>
      <c r="B5" s="164" t="s">
        <v>231</v>
      </c>
      <c r="C5" s="164" t="s">
        <v>232</v>
      </c>
      <c r="D5" s="164" t="s">
        <v>45</v>
      </c>
      <c r="E5" s="164" t="s">
        <v>218</v>
      </c>
      <c r="F5" s="164" t="s">
        <v>219</v>
      </c>
      <c r="G5" s="164" t="s">
        <v>220</v>
      </c>
      <c r="H5" s="164" t="s">
        <v>221</v>
      </c>
      <c r="I5" s="164" t="s">
        <v>222</v>
      </c>
      <c r="J5" s="164" t="s">
        <v>220</v>
      </c>
      <c r="K5" s="164" t="s">
        <v>220</v>
      </c>
      <c r="L5" s="164" t="s">
        <v>220</v>
      </c>
      <c r="M5" s="164" t="s">
        <v>223</v>
      </c>
      <c r="N5" s="164" t="s">
        <v>93</v>
      </c>
      <c r="O5" s="164">
        <v>435</v>
      </c>
      <c r="P5" s="164">
        <v>0</v>
      </c>
      <c r="Q5" s="164">
        <v>0</v>
      </c>
      <c r="R5" s="164">
        <v>0</v>
      </c>
      <c r="S5" s="164">
        <v>0</v>
      </c>
      <c r="T5" s="164">
        <v>0</v>
      </c>
      <c r="U5" s="164">
        <v>0</v>
      </c>
      <c r="V5" s="164">
        <v>21.75</v>
      </c>
      <c r="W5" s="164">
        <v>456.75</v>
      </c>
      <c r="X5" s="164">
        <v>435</v>
      </c>
      <c r="Y5" s="164">
        <v>22</v>
      </c>
      <c r="Z5" s="164">
        <v>95.7</v>
      </c>
      <c r="AA5" s="164">
        <v>8.4</v>
      </c>
      <c r="AB5" s="164">
        <v>104.1</v>
      </c>
      <c r="AC5" s="164">
        <v>18.739999999999998</v>
      </c>
      <c r="AD5" s="164">
        <v>0</v>
      </c>
      <c r="AE5" s="164">
        <v>435</v>
      </c>
      <c r="AF5" s="164">
        <v>0</v>
      </c>
      <c r="AG5" s="164">
        <v>0</v>
      </c>
      <c r="AH5" s="164">
        <v>0.44</v>
      </c>
      <c r="AI5" s="164">
        <v>21.75</v>
      </c>
      <c r="AJ5" s="164">
        <v>0</v>
      </c>
      <c r="AK5" s="164">
        <v>40.93</v>
      </c>
      <c r="AL5" s="164">
        <v>0</v>
      </c>
      <c r="AM5" s="164">
        <v>0</v>
      </c>
      <c r="AN5" s="164">
        <v>0</v>
      </c>
      <c r="AO5" s="164">
        <v>0</v>
      </c>
      <c r="AP5" s="164">
        <v>0</v>
      </c>
      <c r="AQ5" s="164">
        <v>0</v>
      </c>
      <c r="AR5" s="164">
        <v>0</v>
      </c>
      <c r="AS5" s="164">
        <v>0</v>
      </c>
      <c r="AT5" s="164">
        <v>0</v>
      </c>
      <c r="AU5" s="164">
        <v>145.03</v>
      </c>
      <c r="AV5" s="164">
        <v>0</v>
      </c>
      <c r="AW5" s="164">
        <v>311.72000000000003</v>
      </c>
      <c r="AX5" s="164" t="s">
        <v>224</v>
      </c>
      <c r="AY5" s="164" t="s">
        <v>225</v>
      </c>
      <c r="AZ5" s="164" t="s">
        <v>226</v>
      </c>
      <c r="BA5" s="164">
        <v>0</v>
      </c>
      <c r="BB5" s="164" t="s">
        <v>233</v>
      </c>
    </row>
    <row r="6" spans="1:54">
      <c r="A6" s="164" t="s">
        <v>44</v>
      </c>
      <c r="B6" s="164" t="s">
        <v>234</v>
      </c>
      <c r="C6" s="164" t="s">
        <v>235</v>
      </c>
      <c r="D6" s="164" t="s">
        <v>45</v>
      </c>
      <c r="E6" s="164" t="s">
        <v>218</v>
      </c>
      <c r="F6" s="164" t="s">
        <v>219</v>
      </c>
      <c r="G6" s="164" t="s">
        <v>220</v>
      </c>
      <c r="H6" s="164" t="s">
        <v>221</v>
      </c>
      <c r="I6" s="164" t="s">
        <v>222</v>
      </c>
      <c r="J6" s="164" t="s">
        <v>220</v>
      </c>
      <c r="K6" s="164" t="s">
        <v>220</v>
      </c>
      <c r="L6" s="164" t="s">
        <v>220</v>
      </c>
      <c r="M6" s="164" t="s">
        <v>223</v>
      </c>
      <c r="N6" s="164" t="s">
        <v>93</v>
      </c>
      <c r="O6" s="164">
        <v>355</v>
      </c>
      <c r="P6" s="164">
        <v>0</v>
      </c>
      <c r="Q6" s="164">
        <v>0</v>
      </c>
      <c r="R6" s="164">
        <v>0</v>
      </c>
      <c r="S6" s="164">
        <v>0</v>
      </c>
      <c r="T6" s="164">
        <v>0</v>
      </c>
      <c r="U6" s="164">
        <v>0</v>
      </c>
      <c r="V6" s="164">
        <v>17.75</v>
      </c>
      <c r="W6" s="164">
        <v>372.75</v>
      </c>
      <c r="X6" s="164">
        <v>355</v>
      </c>
      <c r="Y6" s="164">
        <v>22</v>
      </c>
      <c r="Z6" s="164">
        <v>78.099999999999994</v>
      </c>
      <c r="AA6" s="164">
        <v>6.86</v>
      </c>
      <c r="AB6" s="164">
        <v>84.96</v>
      </c>
      <c r="AC6" s="164">
        <v>15.29</v>
      </c>
      <c r="AD6" s="164">
        <v>0</v>
      </c>
      <c r="AE6" s="164">
        <v>355</v>
      </c>
      <c r="AF6" s="164">
        <v>0</v>
      </c>
      <c r="AG6" s="164">
        <v>0</v>
      </c>
      <c r="AH6" s="164">
        <v>0.36</v>
      </c>
      <c r="AI6" s="164">
        <v>17.75</v>
      </c>
      <c r="AJ6" s="164">
        <v>0</v>
      </c>
      <c r="AK6" s="164">
        <v>33.4</v>
      </c>
      <c r="AL6" s="164">
        <v>0</v>
      </c>
      <c r="AM6" s="164">
        <v>0</v>
      </c>
      <c r="AN6" s="164">
        <v>0</v>
      </c>
      <c r="AO6" s="164">
        <v>0</v>
      </c>
      <c r="AP6" s="164">
        <v>0</v>
      </c>
      <c r="AQ6" s="164">
        <v>0</v>
      </c>
      <c r="AR6" s="164">
        <v>0</v>
      </c>
      <c r="AS6" s="164">
        <v>0</v>
      </c>
      <c r="AT6" s="164">
        <v>0</v>
      </c>
      <c r="AU6" s="164">
        <v>118.36</v>
      </c>
      <c r="AV6" s="164">
        <v>0</v>
      </c>
      <c r="AW6" s="164">
        <v>254.39</v>
      </c>
      <c r="AX6" s="164" t="s">
        <v>224</v>
      </c>
      <c r="AY6" s="164" t="s">
        <v>225</v>
      </c>
      <c r="AZ6" s="164" t="s">
        <v>226</v>
      </c>
      <c r="BA6" s="164">
        <v>0</v>
      </c>
      <c r="BB6" s="164" t="s">
        <v>236</v>
      </c>
    </row>
    <row r="7" spans="1:54">
      <c r="A7" s="164" t="s">
        <v>45</v>
      </c>
      <c r="B7" s="164" t="s">
        <v>237</v>
      </c>
      <c r="C7" s="164" t="s">
        <v>238</v>
      </c>
      <c r="D7" s="164" t="s">
        <v>45</v>
      </c>
      <c r="E7" s="164" t="s">
        <v>218</v>
      </c>
      <c r="F7" s="164" t="s">
        <v>219</v>
      </c>
      <c r="G7" s="164" t="s">
        <v>220</v>
      </c>
      <c r="H7" s="164" t="s">
        <v>221</v>
      </c>
      <c r="I7" s="164" t="s">
        <v>222</v>
      </c>
      <c r="J7" s="164" t="s">
        <v>220</v>
      </c>
      <c r="K7" s="164" t="s">
        <v>220</v>
      </c>
      <c r="L7" s="164" t="s">
        <v>220</v>
      </c>
      <c r="M7" s="164" t="s">
        <v>223</v>
      </c>
      <c r="N7" s="164" t="s">
        <v>93</v>
      </c>
      <c r="O7" s="164">
        <v>588</v>
      </c>
      <c r="P7" s="164">
        <v>0</v>
      </c>
      <c r="Q7" s="164">
        <v>0</v>
      </c>
      <c r="R7" s="164">
        <v>0</v>
      </c>
      <c r="S7" s="164">
        <v>0</v>
      </c>
      <c r="T7" s="164">
        <v>0</v>
      </c>
      <c r="U7" s="164">
        <v>0</v>
      </c>
      <c r="V7" s="164">
        <v>29.4</v>
      </c>
      <c r="W7" s="164">
        <v>617.4</v>
      </c>
      <c r="X7" s="164">
        <v>588</v>
      </c>
      <c r="Y7" s="164">
        <v>22</v>
      </c>
      <c r="Z7" s="164">
        <v>129.36000000000001</v>
      </c>
      <c r="AA7" s="164">
        <v>11.36</v>
      </c>
      <c r="AB7" s="164">
        <v>140.72</v>
      </c>
      <c r="AC7" s="164">
        <v>25.32</v>
      </c>
      <c r="AD7" s="164">
        <v>0</v>
      </c>
      <c r="AE7" s="164">
        <v>588</v>
      </c>
      <c r="AF7" s="164">
        <v>0</v>
      </c>
      <c r="AG7" s="164">
        <v>0</v>
      </c>
      <c r="AH7" s="164">
        <v>0.59</v>
      </c>
      <c r="AI7" s="164">
        <v>29.4</v>
      </c>
      <c r="AJ7" s="164">
        <v>0</v>
      </c>
      <c r="AK7" s="164">
        <v>55.31</v>
      </c>
      <c r="AL7" s="164">
        <v>0</v>
      </c>
      <c r="AM7" s="164">
        <v>0</v>
      </c>
      <c r="AN7" s="164">
        <v>0</v>
      </c>
      <c r="AO7" s="164">
        <v>0</v>
      </c>
      <c r="AP7" s="164">
        <v>0</v>
      </c>
      <c r="AQ7" s="164">
        <v>0</v>
      </c>
      <c r="AR7" s="164">
        <v>0</v>
      </c>
      <c r="AS7" s="164">
        <v>0</v>
      </c>
      <c r="AT7" s="164">
        <v>0</v>
      </c>
      <c r="AU7" s="164">
        <v>196.03</v>
      </c>
      <c r="AV7" s="164">
        <v>0</v>
      </c>
      <c r="AW7" s="164">
        <v>421.37</v>
      </c>
      <c r="AX7" s="164" t="s">
        <v>224</v>
      </c>
      <c r="AY7" s="164" t="s">
        <v>225</v>
      </c>
      <c r="AZ7" s="164" t="s">
        <v>226</v>
      </c>
      <c r="BA7" s="164">
        <v>0</v>
      </c>
      <c r="BB7" s="164" t="s">
        <v>239</v>
      </c>
    </row>
    <row r="8" spans="1:54">
      <c r="A8" s="164" t="s">
        <v>47</v>
      </c>
      <c r="B8" s="164" t="s">
        <v>240</v>
      </c>
      <c r="C8" s="164" t="s">
        <v>241</v>
      </c>
      <c r="D8" s="164" t="s">
        <v>45</v>
      </c>
      <c r="E8" s="164" t="s">
        <v>218</v>
      </c>
      <c r="F8" s="164" t="s">
        <v>219</v>
      </c>
      <c r="G8" s="164" t="s">
        <v>220</v>
      </c>
      <c r="H8" s="164" t="s">
        <v>221</v>
      </c>
      <c r="I8" s="164" t="s">
        <v>222</v>
      </c>
      <c r="J8" s="164" t="s">
        <v>220</v>
      </c>
      <c r="K8" s="164" t="s">
        <v>220</v>
      </c>
      <c r="L8" s="164" t="s">
        <v>220</v>
      </c>
      <c r="M8" s="164" t="s">
        <v>223</v>
      </c>
      <c r="N8" s="164" t="s">
        <v>93</v>
      </c>
      <c r="O8" s="164">
        <v>375</v>
      </c>
      <c r="P8" s="164">
        <v>0</v>
      </c>
      <c r="Q8" s="164">
        <v>0</v>
      </c>
      <c r="R8" s="164">
        <v>0</v>
      </c>
      <c r="S8" s="164">
        <v>0</v>
      </c>
      <c r="T8" s="164">
        <v>0</v>
      </c>
      <c r="U8" s="164">
        <v>0</v>
      </c>
      <c r="V8" s="164">
        <v>18.75</v>
      </c>
      <c r="W8" s="164">
        <v>393.75</v>
      </c>
      <c r="X8" s="164">
        <v>375</v>
      </c>
      <c r="Y8" s="164">
        <v>22</v>
      </c>
      <c r="Z8" s="164">
        <v>82.5</v>
      </c>
      <c r="AA8" s="164">
        <v>7.24</v>
      </c>
      <c r="AB8" s="164">
        <v>89.74</v>
      </c>
      <c r="AC8" s="164">
        <v>16.149999999999999</v>
      </c>
      <c r="AD8" s="164">
        <v>0</v>
      </c>
      <c r="AE8" s="164">
        <v>375</v>
      </c>
      <c r="AF8" s="164">
        <v>0</v>
      </c>
      <c r="AG8" s="164">
        <v>0</v>
      </c>
      <c r="AH8" s="164">
        <v>0.38</v>
      </c>
      <c r="AI8" s="164">
        <v>18.75</v>
      </c>
      <c r="AJ8" s="164">
        <v>0</v>
      </c>
      <c r="AK8" s="164">
        <v>35.28</v>
      </c>
      <c r="AL8" s="164">
        <v>0</v>
      </c>
      <c r="AM8" s="164">
        <v>0</v>
      </c>
      <c r="AN8" s="164">
        <v>0</v>
      </c>
      <c r="AO8" s="164">
        <v>0</v>
      </c>
      <c r="AP8" s="164">
        <v>0</v>
      </c>
      <c r="AQ8" s="164">
        <v>0</v>
      </c>
      <c r="AR8" s="164">
        <v>0</v>
      </c>
      <c r="AS8" s="164">
        <v>0</v>
      </c>
      <c r="AT8" s="164">
        <v>0</v>
      </c>
      <c r="AU8" s="164">
        <v>125.02</v>
      </c>
      <c r="AV8" s="164">
        <v>0</v>
      </c>
      <c r="AW8" s="164">
        <v>268.73</v>
      </c>
      <c r="AX8" s="164" t="s">
        <v>224</v>
      </c>
      <c r="AY8" s="164" t="s">
        <v>225</v>
      </c>
      <c r="AZ8" s="164" t="s">
        <v>226</v>
      </c>
      <c r="BA8" s="164">
        <v>0</v>
      </c>
      <c r="BB8" s="164" t="s">
        <v>242</v>
      </c>
    </row>
    <row r="9" spans="1:54">
      <c r="A9" s="164" t="s">
        <v>48</v>
      </c>
      <c r="B9" s="164" t="s">
        <v>243</v>
      </c>
      <c r="C9" s="164" t="s">
        <v>244</v>
      </c>
      <c r="D9" s="164" t="s">
        <v>45</v>
      </c>
      <c r="E9" s="164" t="s">
        <v>218</v>
      </c>
      <c r="F9" s="164" t="s">
        <v>219</v>
      </c>
      <c r="G9" s="164" t="s">
        <v>220</v>
      </c>
      <c r="H9" s="164" t="s">
        <v>221</v>
      </c>
      <c r="I9" s="164" t="s">
        <v>222</v>
      </c>
      <c r="J9" s="164" t="s">
        <v>220</v>
      </c>
      <c r="K9" s="164" t="s">
        <v>220</v>
      </c>
      <c r="L9" s="164" t="s">
        <v>220</v>
      </c>
      <c r="M9" s="164" t="s">
        <v>223</v>
      </c>
      <c r="N9" s="164" t="s">
        <v>93</v>
      </c>
      <c r="O9" s="164">
        <v>153</v>
      </c>
      <c r="P9" s="164">
        <v>0</v>
      </c>
      <c r="Q9" s="164">
        <v>0</v>
      </c>
      <c r="R9" s="164">
        <v>0</v>
      </c>
      <c r="S9" s="164">
        <v>0</v>
      </c>
      <c r="T9" s="164">
        <v>0</v>
      </c>
      <c r="U9" s="164">
        <v>0</v>
      </c>
      <c r="V9" s="164">
        <v>7.65</v>
      </c>
      <c r="W9" s="164">
        <v>160.65</v>
      </c>
      <c r="X9" s="164">
        <v>153</v>
      </c>
      <c r="Y9" s="164">
        <v>22</v>
      </c>
      <c r="Z9" s="164">
        <v>33.659999999999997</v>
      </c>
      <c r="AA9" s="164">
        <v>2.96</v>
      </c>
      <c r="AB9" s="164">
        <v>36.619999999999997</v>
      </c>
      <c r="AC9" s="164">
        <v>6.59</v>
      </c>
      <c r="AD9" s="164">
        <v>0</v>
      </c>
      <c r="AE9" s="164">
        <v>153</v>
      </c>
      <c r="AF9" s="164">
        <v>0</v>
      </c>
      <c r="AG9" s="164">
        <v>0</v>
      </c>
      <c r="AH9" s="164">
        <v>0.15</v>
      </c>
      <c r="AI9" s="164">
        <v>7.65</v>
      </c>
      <c r="AJ9" s="164">
        <v>0</v>
      </c>
      <c r="AK9" s="164">
        <v>14.39</v>
      </c>
      <c r="AL9" s="164">
        <v>0</v>
      </c>
      <c r="AM9" s="164">
        <v>0</v>
      </c>
      <c r="AN9" s="164">
        <v>0</v>
      </c>
      <c r="AO9" s="164">
        <v>0</v>
      </c>
      <c r="AP9" s="164">
        <v>0</v>
      </c>
      <c r="AQ9" s="164">
        <v>0</v>
      </c>
      <c r="AR9" s="164">
        <v>0</v>
      </c>
      <c r="AS9" s="164">
        <v>0</v>
      </c>
      <c r="AT9" s="164">
        <v>0</v>
      </c>
      <c r="AU9" s="164">
        <v>51.01</v>
      </c>
      <c r="AV9" s="164">
        <v>0</v>
      </c>
      <c r="AW9" s="164">
        <v>109.64</v>
      </c>
      <c r="AX9" s="164" t="s">
        <v>224</v>
      </c>
      <c r="AY9" s="164" t="s">
        <v>225</v>
      </c>
      <c r="AZ9" s="164" t="s">
        <v>226</v>
      </c>
      <c r="BA9" s="164">
        <v>0</v>
      </c>
      <c r="BB9" s="164" t="s">
        <v>245</v>
      </c>
    </row>
    <row r="10" spans="1:54">
      <c r="A10" s="164" t="s">
        <v>49</v>
      </c>
      <c r="B10" s="164" t="s">
        <v>246</v>
      </c>
      <c r="C10" s="164" t="s">
        <v>247</v>
      </c>
      <c r="D10" s="164" t="s">
        <v>47</v>
      </c>
      <c r="E10" s="164" t="s">
        <v>218</v>
      </c>
      <c r="F10" s="164" t="s">
        <v>219</v>
      </c>
      <c r="G10" s="164" t="s">
        <v>220</v>
      </c>
      <c r="H10" s="164" t="s">
        <v>221</v>
      </c>
      <c r="I10" s="164" t="s">
        <v>222</v>
      </c>
      <c r="J10" s="164" t="s">
        <v>220</v>
      </c>
      <c r="K10" s="164" t="s">
        <v>220</v>
      </c>
      <c r="L10" s="164" t="s">
        <v>220</v>
      </c>
      <c r="M10" s="164" t="s">
        <v>223</v>
      </c>
      <c r="N10" s="164" t="s">
        <v>93</v>
      </c>
      <c r="O10" s="164">
        <v>513</v>
      </c>
      <c r="P10" s="164">
        <v>0</v>
      </c>
      <c r="Q10" s="164">
        <v>0</v>
      </c>
      <c r="R10" s="164">
        <v>0</v>
      </c>
      <c r="S10" s="164">
        <v>0</v>
      </c>
      <c r="T10" s="164">
        <v>0</v>
      </c>
      <c r="U10" s="164">
        <v>0</v>
      </c>
      <c r="V10" s="164">
        <v>25.65</v>
      </c>
      <c r="W10" s="164">
        <v>538.65</v>
      </c>
      <c r="X10" s="164">
        <v>513</v>
      </c>
      <c r="Y10" s="164">
        <v>22</v>
      </c>
      <c r="Z10" s="164">
        <v>112.86</v>
      </c>
      <c r="AA10" s="164">
        <v>9.91</v>
      </c>
      <c r="AB10" s="164">
        <v>122.77</v>
      </c>
      <c r="AC10" s="164">
        <v>22.09</v>
      </c>
      <c r="AD10" s="164">
        <v>0</v>
      </c>
      <c r="AE10" s="164">
        <v>513</v>
      </c>
      <c r="AF10" s="164">
        <v>0</v>
      </c>
      <c r="AG10" s="164">
        <v>0</v>
      </c>
      <c r="AH10" s="164">
        <v>0.51</v>
      </c>
      <c r="AI10" s="164">
        <v>25.65</v>
      </c>
      <c r="AJ10" s="164">
        <v>0</v>
      </c>
      <c r="AK10" s="164">
        <v>48.25</v>
      </c>
      <c r="AL10" s="164">
        <v>0</v>
      </c>
      <c r="AM10" s="164">
        <v>0</v>
      </c>
      <c r="AN10" s="164">
        <v>0</v>
      </c>
      <c r="AO10" s="164">
        <v>0</v>
      </c>
      <c r="AP10" s="164">
        <v>0</v>
      </c>
      <c r="AQ10" s="164">
        <v>0</v>
      </c>
      <c r="AR10" s="164">
        <v>0</v>
      </c>
      <c r="AS10" s="164">
        <v>0</v>
      </c>
      <c r="AT10" s="164">
        <v>0</v>
      </c>
      <c r="AU10" s="164">
        <v>171.02</v>
      </c>
      <c r="AV10" s="164">
        <v>0</v>
      </c>
      <c r="AW10" s="164">
        <v>367.63</v>
      </c>
      <c r="AX10" s="164" t="s">
        <v>224</v>
      </c>
      <c r="AY10" s="164" t="s">
        <v>248</v>
      </c>
      <c r="AZ10" s="164" t="s">
        <v>249</v>
      </c>
      <c r="BA10" s="164">
        <v>0</v>
      </c>
      <c r="BB10" s="164" t="s">
        <v>250</v>
      </c>
    </row>
    <row r="11" spans="1:54">
      <c r="A11" s="164" t="s">
        <v>50</v>
      </c>
      <c r="B11" s="164" t="s">
        <v>251</v>
      </c>
      <c r="C11" s="164" t="s">
        <v>252</v>
      </c>
      <c r="D11" s="164" t="s">
        <v>47</v>
      </c>
      <c r="E11" s="164" t="s">
        <v>218</v>
      </c>
      <c r="F11" s="164" t="s">
        <v>219</v>
      </c>
      <c r="G11" s="164" t="s">
        <v>220</v>
      </c>
      <c r="H11" s="164" t="s">
        <v>221</v>
      </c>
      <c r="I11" s="164" t="s">
        <v>222</v>
      </c>
      <c r="J11" s="164" t="s">
        <v>220</v>
      </c>
      <c r="K11" s="164" t="s">
        <v>220</v>
      </c>
      <c r="L11" s="164" t="s">
        <v>220</v>
      </c>
      <c r="M11" s="164" t="s">
        <v>223</v>
      </c>
      <c r="N11" s="164" t="s">
        <v>93</v>
      </c>
      <c r="O11" s="164">
        <v>436</v>
      </c>
      <c r="P11" s="164">
        <v>0</v>
      </c>
      <c r="Q11" s="164">
        <v>0</v>
      </c>
      <c r="R11" s="164">
        <v>0</v>
      </c>
      <c r="S11" s="164">
        <v>0</v>
      </c>
      <c r="T11" s="164">
        <v>0</v>
      </c>
      <c r="U11" s="164">
        <v>0</v>
      </c>
      <c r="V11" s="164">
        <v>21.8</v>
      </c>
      <c r="W11" s="164">
        <v>457.8</v>
      </c>
      <c r="X11" s="164">
        <v>436</v>
      </c>
      <c r="Y11" s="164">
        <v>22</v>
      </c>
      <c r="Z11" s="164">
        <v>95.92</v>
      </c>
      <c r="AA11" s="164">
        <v>8.42</v>
      </c>
      <c r="AB11" s="164">
        <v>104.34</v>
      </c>
      <c r="AC11" s="164">
        <v>18.79</v>
      </c>
      <c r="AD11" s="164">
        <v>0</v>
      </c>
      <c r="AE11" s="164">
        <v>436</v>
      </c>
      <c r="AF11" s="164">
        <v>0</v>
      </c>
      <c r="AG11" s="164">
        <v>0</v>
      </c>
      <c r="AH11" s="164">
        <v>0.44</v>
      </c>
      <c r="AI11" s="164">
        <v>21.8</v>
      </c>
      <c r="AJ11" s="164">
        <v>0</v>
      </c>
      <c r="AK11" s="164">
        <v>41.03</v>
      </c>
      <c r="AL11" s="164">
        <v>0</v>
      </c>
      <c r="AM11" s="164">
        <v>0</v>
      </c>
      <c r="AN11" s="164">
        <v>0</v>
      </c>
      <c r="AO11" s="164">
        <v>0</v>
      </c>
      <c r="AP11" s="164">
        <v>0</v>
      </c>
      <c r="AQ11" s="164">
        <v>0</v>
      </c>
      <c r="AR11" s="164">
        <v>0</v>
      </c>
      <c r="AS11" s="164">
        <v>0</v>
      </c>
      <c r="AT11" s="164">
        <v>0</v>
      </c>
      <c r="AU11" s="164">
        <v>145.37</v>
      </c>
      <c r="AV11" s="164">
        <v>0</v>
      </c>
      <c r="AW11" s="164">
        <v>312.43</v>
      </c>
      <c r="AX11" s="164" t="s">
        <v>224</v>
      </c>
      <c r="AY11" s="164" t="s">
        <v>248</v>
      </c>
      <c r="AZ11" s="164" t="s">
        <v>249</v>
      </c>
      <c r="BA11" s="164">
        <v>0</v>
      </c>
      <c r="BB11" s="164" t="s">
        <v>230</v>
      </c>
    </row>
    <row r="12" spans="1:54">
      <c r="A12" s="164" t="s">
        <v>54</v>
      </c>
      <c r="B12" s="164" t="s">
        <v>253</v>
      </c>
      <c r="C12" s="164" t="s">
        <v>254</v>
      </c>
      <c r="D12" s="164" t="s">
        <v>47</v>
      </c>
      <c r="E12" s="164" t="s">
        <v>218</v>
      </c>
      <c r="F12" s="164" t="s">
        <v>219</v>
      </c>
      <c r="G12" s="164" t="s">
        <v>220</v>
      </c>
      <c r="H12" s="164" t="s">
        <v>221</v>
      </c>
      <c r="I12" s="164" t="s">
        <v>222</v>
      </c>
      <c r="J12" s="164" t="s">
        <v>220</v>
      </c>
      <c r="K12" s="164" t="s">
        <v>220</v>
      </c>
      <c r="L12" s="164" t="s">
        <v>220</v>
      </c>
      <c r="M12" s="164" t="s">
        <v>223</v>
      </c>
      <c r="N12" s="164" t="s">
        <v>93</v>
      </c>
      <c r="O12" s="164">
        <v>419</v>
      </c>
      <c r="P12" s="164">
        <v>0</v>
      </c>
      <c r="Q12" s="164">
        <v>0</v>
      </c>
      <c r="R12" s="164">
        <v>0</v>
      </c>
      <c r="S12" s="164">
        <v>0</v>
      </c>
      <c r="T12" s="164">
        <v>0</v>
      </c>
      <c r="U12" s="164">
        <v>0</v>
      </c>
      <c r="V12" s="164">
        <v>20.95</v>
      </c>
      <c r="W12" s="164">
        <v>439.95</v>
      </c>
      <c r="X12" s="164">
        <v>419</v>
      </c>
      <c r="Y12" s="164">
        <v>22</v>
      </c>
      <c r="Z12" s="164">
        <v>92.18</v>
      </c>
      <c r="AA12" s="164">
        <v>8.1</v>
      </c>
      <c r="AB12" s="164">
        <v>100.28</v>
      </c>
      <c r="AC12" s="164">
        <v>18.05</v>
      </c>
      <c r="AD12" s="164">
        <v>0</v>
      </c>
      <c r="AE12" s="164">
        <v>419</v>
      </c>
      <c r="AF12" s="164">
        <v>0</v>
      </c>
      <c r="AG12" s="164">
        <v>0</v>
      </c>
      <c r="AH12" s="164">
        <v>0.42</v>
      </c>
      <c r="AI12" s="164">
        <v>20.95</v>
      </c>
      <c r="AJ12" s="164">
        <v>0</v>
      </c>
      <c r="AK12" s="164">
        <v>39.42</v>
      </c>
      <c r="AL12" s="164">
        <v>0</v>
      </c>
      <c r="AM12" s="164">
        <v>0</v>
      </c>
      <c r="AN12" s="164">
        <v>0</v>
      </c>
      <c r="AO12" s="164">
        <v>0</v>
      </c>
      <c r="AP12" s="164">
        <v>0</v>
      </c>
      <c r="AQ12" s="164">
        <v>0</v>
      </c>
      <c r="AR12" s="164">
        <v>0</v>
      </c>
      <c r="AS12" s="164">
        <v>0</v>
      </c>
      <c r="AT12" s="164">
        <v>0</v>
      </c>
      <c r="AU12" s="164">
        <v>139.69999999999999</v>
      </c>
      <c r="AV12" s="164">
        <v>0</v>
      </c>
      <c r="AW12" s="164">
        <v>300.25</v>
      </c>
      <c r="AX12" s="164" t="s">
        <v>224</v>
      </c>
      <c r="AY12" s="164" t="s">
        <v>248</v>
      </c>
      <c r="AZ12" s="164" t="s">
        <v>249</v>
      </c>
      <c r="BA12" s="164">
        <v>0</v>
      </c>
      <c r="BB12" s="164" t="s">
        <v>255</v>
      </c>
    </row>
    <row r="13" spans="1:54">
      <c r="A13" s="164" t="s">
        <v>55</v>
      </c>
      <c r="B13" s="164" t="s">
        <v>256</v>
      </c>
      <c r="C13" s="164" t="s">
        <v>257</v>
      </c>
      <c r="D13" s="164" t="s">
        <v>47</v>
      </c>
      <c r="E13" s="164" t="s">
        <v>218</v>
      </c>
      <c r="F13" s="164" t="s">
        <v>219</v>
      </c>
      <c r="G13" s="164" t="s">
        <v>220</v>
      </c>
      <c r="H13" s="164" t="s">
        <v>221</v>
      </c>
      <c r="I13" s="164" t="s">
        <v>222</v>
      </c>
      <c r="J13" s="164" t="s">
        <v>220</v>
      </c>
      <c r="K13" s="164" t="s">
        <v>220</v>
      </c>
      <c r="L13" s="164" t="s">
        <v>220</v>
      </c>
      <c r="M13" s="164" t="s">
        <v>223</v>
      </c>
      <c r="N13" s="164" t="s">
        <v>93</v>
      </c>
      <c r="O13" s="164">
        <v>509</v>
      </c>
      <c r="P13" s="164">
        <v>0</v>
      </c>
      <c r="Q13" s="164">
        <v>0</v>
      </c>
      <c r="R13" s="164">
        <v>0</v>
      </c>
      <c r="S13" s="164">
        <v>0</v>
      </c>
      <c r="T13" s="164">
        <v>0</v>
      </c>
      <c r="U13" s="164">
        <v>0</v>
      </c>
      <c r="V13" s="164">
        <v>25.45</v>
      </c>
      <c r="W13" s="164">
        <v>534.45000000000005</v>
      </c>
      <c r="X13" s="164">
        <v>509</v>
      </c>
      <c r="Y13" s="164">
        <v>22</v>
      </c>
      <c r="Z13" s="164">
        <v>111.98</v>
      </c>
      <c r="AA13" s="164">
        <v>9.83</v>
      </c>
      <c r="AB13" s="164">
        <v>121.81</v>
      </c>
      <c r="AC13" s="164">
        <v>21.93</v>
      </c>
      <c r="AD13" s="164">
        <v>0</v>
      </c>
      <c r="AE13" s="164">
        <v>509</v>
      </c>
      <c r="AF13" s="164">
        <v>0</v>
      </c>
      <c r="AG13" s="164">
        <v>0</v>
      </c>
      <c r="AH13" s="164">
        <v>0.51</v>
      </c>
      <c r="AI13" s="164">
        <v>25.45</v>
      </c>
      <c r="AJ13" s="164">
        <v>0</v>
      </c>
      <c r="AK13" s="164">
        <v>47.89</v>
      </c>
      <c r="AL13" s="164">
        <v>0</v>
      </c>
      <c r="AM13" s="164">
        <v>0</v>
      </c>
      <c r="AN13" s="164">
        <v>0</v>
      </c>
      <c r="AO13" s="164">
        <v>0</v>
      </c>
      <c r="AP13" s="164">
        <v>0</v>
      </c>
      <c r="AQ13" s="164">
        <v>0</v>
      </c>
      <c r="AR13" s="164">
        <v>0</v>
      </c>
      <c r="AS13" s="164">
        <v>0</v>
      </c>
      <c r="AT13" s="164">
        <v>0</v>
      </c>
      <c r="AU13" s="164">
        <v>169.7</v>
      </c>
      <c r="AV13" s="164">
        <v>0</v>
      </c>
      <c r="AW13" s="164">
        <v>364.75</v>
      </c>
      <c r="AX13" s="164" t="s">
        <v>224</v>
      </c>
      <c r="AY13" s="164" t="s">
        <v>248</v>
      </c>
      <c r="AZ13" s="164" t="s">
        <v>249</v>
      </c>
      <c r="BA13" s="164">
        <v>0</v>
      </c>
      <c r="BB13" s="164" t="s">
        <v>258</v>
      </c>
    </row>
    <row r="14" spans="1:54">
      <c r="A14" s="164" t="s">
        <v>58</v>
      </c>
      <c r="B14" s="164" t="s">
        <v>259</v>
      </c>
      <c r="C14" s="164" t="s">
        <v>260</v>
      </c>
      <c r="D14" s="164" t="s">
        <v>47</v>
      </c>
      <c r="E14" s="164" t="s">
        <v>218</v>
      </c>
      <c r="F14" s="164" t="s">
        <v>219</v>
      </c>
      <c r="G14" s="164" t="s">
        <v>220</v>
      </c>
      <c r="H14" s="164" t="s">
        <v>221</v>
      </c>
      <c r="I14" s="164" t="s">
        <v>222</v>
      </c>
      <c r="J14" s="164" t="s">
        <v>220</v>
      </c>
      <c r="K14" s="164" t="s">
        <v>220</v>
      </c>
      <c r="L14" s="164" t="s">
        <v>220</v>
      </c>
      <c r="M14" s="164" t="s">
        <v>223</v>
      </c>
      <c r="N14" s="164" t="s">
        <v>93</v>
      </c>
      <c r="O14" s="164">
        <v>229</v>
      </c>
      <c r="P14" s="164">
        <v>0</v>
      </c>
      <c r="Q14" s="164">
        <v>0</v>
      </c>
      <c r="R14" s="164">
        <v>0</v>
      </c>
      <c r="S14" s="164">
        <v>0</v>
      </c>
      <c r="T14" s="164">
        <v>0</v>
      </c>
      <c r="U14" s="164">
        <v>0</v>
      </c>
      <c r="V14" s="164">
        <v>11.45</v>
      </c>
      <c r="W14" s="164">
        <v>240.45</v>
      </c>
      <c r="X14" s="164">
        <v>229</v>
      </c>
      <c r="Y14" s="164">
        <v>22</v>
      </c>
      <c r="Z14" s="164">
        <v>50.38</v>
      </c>
      <c r="AA14" s="164">
        <v>4.42</v>
      </c>
      <c r="AB14" s="164">
        <v>54.8</v>
      </c>
      <c r="AC14" s="164">
        <v>9.8699999999999992</v>
      </c>
      <c r="AD14" s="164">
        <v>0</v>
      </c>
      <c r="AE14" s="164">
        <v>229</v>
      </c>
      <c r="AF14" s="164">
        <v>0</v>
      </c>
      <c r="AG14" s="164">
        <v>0</v>
      </c>
      <c r="AH14" s="164">
        <v>0.23</v>
      </c>
      <c r="AI14" s="164">
        <v>11.45</v>
      </c>
      <c r="AJ14" s="164">
        <v>0</v>
      </c>
      <c r="AK14" s="164">
        <v>21.55</v>
      </c>
      <c r="AL14" s="164">
        <v>0</v>
      </c>
      <c r="AM14" s="164">
        <v>0</v>
      </c>
      <c r="AN14" s="164">
        <v>0</v>
      </c>
      <c r="AO14" s="164">
        <v>0</v>
      </c>
      <c r="AP14" s="164">
        <v>0</v>
      </c>
      <c r="AQ14" s="164">
        <v>0</v>
      </c>
      <c r="AR14" s="164">
        <v>0</v>
      </c>
      <c r="AS14" s="164">
        <v>0</v>
      </c>
      <c r="AT14" s="164">
        <v>0</v>
      </c>
      <c r="AU14" s="164">
        <v>76.349999999999994</v>
      </c>
      <c r="AV14" s="164">
        <v>0</v>
      </c>
      <c r="AW14" s="164">
        <v>164.1</v>
      </c>
      <c r="AX14" s="164" t="s">
        <v>224</v>
      </c>
      <c r="AY14" s="164" t="s">
        <v>248</v>
      </c>
      <c r="AZ14" s="164" t="s">
        <v>249</v>
      </c>
      <c r="BA14" s="164">
        <v>0</v>
      </c>
      <c r="BB14" s="164" t="s">
        <v>261</v>
      </c>
    </row>
    <row r="15" spans="1:54">
      <c r="A15" s="164" t="s">
        <v>59</v>
      </c>
      <c r="B15" s="164" t="s">
        <v>262</v>
      </c>
      <c r="C15" s="164" t="s">
        <v>263</v>
      </c>
      <c r="D15" s="164" t="s">
        <v>47</v>
      </c>
      <c r="E15" s="164" t="s">
        <v>218</v>
      </c>
      <c r="F15" s="164" t="s">
        <v>219</v>
      </c>
      <c r="G15" s="164" t="s">
        <v>220</v>
      </c>
      <c r="H15" s="164" t="s">
        <v>221</v>
      </c>
      <c r="I15" s="164" t="s">
        <v>222</v>
      </c>
      <c r="J15" s="164" t="s">
        <v>220</v>
      </c>
      <c r="K15" s="164" t="s">
        <v>220</v>
      </c>
      <c r="L15" s="164" t="s">
        <v>220</v>
      </c>
      <c r="M15" s="164" t="s">
        <v>223</v>
      </c>
      <c r="N15" s="164" t="s">
        <v>93</v>
      </c>
      <c r="O15" s="164">
        <v>608</v>
      </c>
      <c r="P15" s="164">
        <v>0</v>
      </c>
      <c r="Q15" s="164">
        <v>0</v>
      </c>
      <c r="R15" s="164">
        <v>0</v>
      </c>
      <c r="S15" s="164">
        <v>0</v>
      </c>
      <c r="T15" s="164">
        <v>0</v>
      </c>
      <c r="U15" s="164">
        <v>0</v>
      </c>
      <c r="V15" s="164">
        <v>30.4</v>
      </c>
      <c r="W15" s="164">
        <v>638.4</v>
      </c>
      <c r="X15" s="164">
        <v>608</v>
      </c>
      <c r="Y15" s="164">
        <v>22</v>
      </c>
      <c r="Z15" s="164">
        <v>133.76</v>
      </c>
      <c r="AA15" s="164">
        <v>11.75</v>
      </c>
      <c r="AB15" s="164">
        <v>145.51</v>
      </c>
      <c r="AC15" s="164">
        <v>26.2</v>
      </c>
      <c r="AD15" s="164">
        <v>0</v>
      </c>
      <c r="AE15" s="164">
        <v>608</v>
      </c>
      <c r="AF15" s="164">
        <v>0</v>
      </c>
      <c r="AG15" s="164">
        <v>0</v>
      </c>
      <c r="AH15" s="164">
        <v>0.61</v>
      </c>
      <c r="AI15" s="164">
        <v>30.4</v>
      </c>
      <c r="AJ15" s="164">
        <v>0</v>
      </c>
      <c r="AK15" s="164">
        <v>57.21</v>
      </c>
      <c r="AL15" s="164">
        <v>0</v>
      </c>
      <c r="AM15" s="164">
        <v>0</v>
      </c>
      <c r="AN15" s="164">
        <v>0</v>
      </c>
      <c r="AO15" s="164">
        <v>0</v>
      </c>
      <c r="AP15" s="164">
        <v>0</v>
      </c>
      <c r="AQ15" s="164">
        <v>0</v>
      </c>
      <c r="AR15" s="164">
        <v>0</v>
      </c>
      <c r="AS15" s="164">
        <v>0</v>
      </c>
      <c r="AT15" s="164">
        <v>0</v>
      </c>
      <c r="AU15" s="164">
        <v>202.72</v>
      </c>
      <c r="AV15" s="164">
        <v>0</v>
      </c>
      <c r="AW15" s="164">
        <v>435.68</v>
      </c>
      <c r="AX15" s="164" t="s">
        <v>224</v>
      </c>
      <c r="AY15" s="164" t="s">
        <v>248</v>
      </c>
      <c r="AZ15" s="164" t="s">
        <v>249</v>
      </c>
      <c r="BA15" s="164">
        <v>0</v>
      </c>
      <c r="BB15" s="164" t="s">
        <v>264</v>
      </c>
    </row>
    <row r="16" spans="1:54">
      <c r="A16" s="164" t="s">
        <v>60</v>
      </c>
      <c r="B16" s="164" t="s">
        <v>265</v>
      </c>
      <c r="C16" s="164" t="s">
        <v>266</v>
      </c>
      <c r="D16" s="164" t="s">
        <v>47</v>
      </c>
      <c r="E16" s="164" t="s">
        <v>218</v>
      </c>
      <c r="F16" s="164" t="s">
        <v>219</v>
      </c>
      <c r="G16" s="164" t="s">
        <v>220</v>
      </c>
      <c r="H16" s="164" t="s">
        <v>221</v>
      </c>
      <c r="I16" s="164" t="s">
        <v>222</v>
      </c>
      <c r="J16" s="164" t="s">
        <v>220</v>
      </c>
      <c r="K16" s="164" t="s">
        <v>220</v>
      </c>
      <c r="L16" s="164" t="s">
        <v>220</v>
      </c>
      <c r="M16" s="164" t="s">
        <v>223</v>
      </c>
      <c r="N16" s="164" t="s">
        <v>93</v>
      </c>
      <c r="O16" s="164">
        <v>284</v>
      </c>
      <c r="P16" s="164">
        <v>0</v>
      </c>
      <c r="Q16" s="164">
        <v>0</v>
      </c>
      <c r="R16" s="164">
        <v>0</v>
      </c>
      <c r="S16" s="164">
        <v>0</v>
      </c>
      <c r="T16" s="164">
        <v>0</v>
      </c>
      <c r="U16" s="164">
        <v>0</v>
      </c>
      <c r="V16" s="164">
        <v>14.2</v>
      </c>
      <c r="W16" s="164">
        <v>298.2</v>
      </c>
      <c r="X16" s="164">
        <v>284</v>
      </c>
      <c r="Y16" s="164">
        <v>22</v>
      </c>
      <c r="Z16" s="164">
        <v>62.48</v>
      </c>
      <c r="AA16" s="164">
        <v>5.49</v>
      </c>
      <c r="AB16" s="164">
        <v>67.97</v>
      </c>
      <c r="AC16" s="164">
        <v>12.24</v>
      </c>
      <c r="AD16" s="164">
        <v>0</v>
      </c>
      <c r="AE16" s="164">
        <v>284</v>
      </c>
      <c r="AF16" s="164">
        <v>0</v>
      </c>
      <c r="AG16" s="164">
        <v>0</v>
      </c>
      <c r="AH16" s="164">
        <v>0.28000000000000003</v>
      </c>
      <c r="AI16" s="164">
        <v>14.2</v>
      </c>
      <c r="AJ16" s="164">
        <v>0</v>
      </c>
      <c r="AK16" s="164">
        <v>26.72</v>
      </c>
      <c r="AL16" s="164">
        <v>0</v>
      </c>
      <c r="AM16" s="164">
        <v>0</v>
      </c>
      <c r="AN16" s="164">
        <v>0</v>
      </c>
      <c r="AO16" s="164">
        <v>0</v>
      </c>
      <c r="AP16" s="164">
        <v>0</v>
      </c>
      <c r="AQ16" s="164">
        <v>0</v>
      </c>
      <c r="AR16" s="164">
        <v>0</v>
      </c>
      <c r="AS16" s="164">
        <v>0</v>
      </c>
      <c r="AT16" s="164">
        <v>0</v>
      </c>
      <c r="AU16" s="164">
        <v>94.69</v>
      </c>
      <c r="AV16" s="164">
        <v>0</v>
      </c>
      <c r="AW16" s="164">
        <v>203.51</v>
      </c>
      <c r="AX16" s="164" t="s">
        <v>224</v>
      </c>
      <c r="AY16" s="164" t="s">
        <v>248</v>
      </c>
      <c r="AZ16" s="164" t="s">
        <v>249</v>
      </c>
      <c r="BA16" s="164">
        <v>0</v>
      </c>
      <c r="BB16" s="164" t="s">
        <v>267</v>
      </c>
    </row>
    <row r="17" spans="1:54">
      <c r="A17" s="164" t="s">
        <v>61</v>
      </c>
      <c r="B17" s="164" t="s">
        <v>268</v>
      </c>
      <c r="C17" s="164" t="s">
        <v>269</v>
      </c>
      <c r="D17" s="164" t="s">
        <v>47</v>
      </c>
      <c r="E17" s="164" t="s">
        <v>218</v>
      </c>
      <c r="F17" s="164" t="s">
        <v>219</v>
      </c>
      <c r="G17" s="164" t="s">
        <v>220</v>
      </c>
      <c r="H17" s="164" t="s">
        <v>221</v>
      </c>
      <c r="I17" s="164" t="s">
        <v>222</v>
      </c>
      <c r="J17" s="164" t="s">
        <v>220</v>
      </c>
      <c r="K17" s="164" t="s">
        <v>220</v>
      </c>
      <c r="L17" s="164" t="s">
        <v>220</v>
      </c>
      <c r="M17" s="164" t="s">
        <v>223</v>
      </c>
      <c r="N17" s="164" t="s">
        <v>93</v>
      </c>
      <c r="O17" s="164">
        <v>81</v>
      </c>
      <c r="P17" s="164">
        <v>0</v>
      </c>
      <c r="Q17" s="164">
        <v>0</v>
      </c>
      <c r="R17" s="164">
        <v>0</v>
      </c>
      <c r="S17" s="164">
        <v>0</v>
      </c>
      <c r="T17" s="164">
        <v>0</v>
      </c>
      <c r="U17" s="164">
        <v>0</v>
      </c>
      <c r="V17" s="164">
        <v>4.05</v>
      </c>
      <c r="W17" s="164">
        <v>85.05</v>
      </c>
      <c r="X17" s="164">
        <v>81</v>
      </c>
      <c r="Y17" s="164">
        <v>22</v>
      </c>
      <c r="Z17" s="164">
        <v>17.82</v>
      </c>
      <c r="AA17" s="164">
        <v>1.56</v>
      </c>
      <c r="AB17" s="164">
        <v>19.38</v>
      </c>
      <c r="AC17" s="164">
        <v>3.49</v>
      </c>
      <c r="AD17" s="164">
        <v>0</v>
      </c>
      <c r="AE17" s="164">
        <v>81</v>
      </c>
      <c r="AF17" s="164">
        <v>0</v>
      </c>
      <c r="AG17" s="164">
        <v>0</v>
      </c>
      <c r="AH17" s="164">
        <v>0.08</v>
      </c>
      <c r="AI17" s="164">
        <v>4.05</v>
      </c>
      <c r="AJ17" s="164">
        <v>0</v>
      </c>
      <c r="AK17" s="164">
        <v>7.62</v>
      </c>
      <c r="AL17" s="164">
        <v>0</v>
      </c>
      <c r="AM17" s="164">
        <v>0</v>
      </c>
      <c r="AN17" s="164">
        <v>0</v>
      </c>
      <c r="AO17" s="164">
        <v>0</v>
      </c>
      <c r="AP17" s="164">
        <v>0</v>
      </c>
      <c r="AQ17" s="164">
        <v>0</v>
      </c>
      <c r="AR17" s="164">
        <v>0</v>
      </c>
      <c r="AS17" s="164">
        <v>0</v>
      </c>
      <c r="AT17" s="164">
        <v>0</v>
      </c>
      <c r="AU17" s="164">
        <v>27</v>
      </c>
      <c r="AV17" s="164">
        <v>0</v>
      </c>
      <c r="AW17" s="164">
        <v>58.05</v>
      </c>
      <c r="AX17" s="164" t="s">
        <v>224</v>
      </c>
      <c r="AY17" s="164" t="s">
        <v>248</v>
      </c>
      <c r="AZ17" s="164" t="s">
        <v>249</v>
      </c>
      <c r="BA17" s="164">
        <v>0</v>
      </c>
      <c r="BB17" s="164" t="s">
        <v>270</v>
      </c>
    </row>
    <row r="18" spans="1:54">
      <c r="A18" s="164" t="s">
        <v>64</v>
      </c>
      <c r="B18" s="164" t="s">
        <v>271</v>
      </c>
      <c r="C18" s="164" t="s">
        <v>272</v>
      </c>
      <c r="D18" s="164" t="s">
        <v>47</v>
      </c>
      <c r="E18" s="164" t="s">
        <v>218</v>
      </c>
      <c r="F18" s="164" t="s">
        <v>219</v>
      </c>
      <c r="G18" s="164" t="s">
        <v>220</v>
      </c>
      <c r="H18" s="164" t="s">
        <v>221</v>
      </c>
      <c r="I18" s="164" t="s">
        <v>222</v>
      </c>
      <c r="J18" s="164" t="s">
        <v>220</v>
      </c>
      <c r="K18" s="164" t="s">
        <v>220</v>
      </c>
      <c r="L18" s="164" t="s">
        <v>220</v>
      </c>
      <c r="M18" s="164" t="s">
        <v>223</v>
      </c>
      <c r="N18" s="164" t="s">
        <v>93</v>
      </c>
      <c r="O18" s="164">
        <v>458</v>
      </c>
      <c r="P18" s="164">
        <v>0</v>
      </c>
      <c r="Q18" s="164">
        <v>0</v>
      </c>
      <c r="R18" s="164">
        <v>0</v>
      </c>
      <c r="S18" s="164">
        <v>0</v>
      </c>
      <c r="T18" s="164">
        <v>0</v>
      </c>
      <c r="U18" s="164">
        <v>0</v>
      </c>
      <c r="V18" s="164">
        <v>22.9</v>
      </c>
      <c r="W18" s="164">
        <v>480.9</v>
      </c>
      <c r="X18" s="164">
        <v>458</v>
      </c>
      <c r="Y18" s="164">
        <v>22</v>
      </c>
      <c r="Z18" s="164">
        <v>100.76</v>
      </c>
      <c r="AA18" s="164">
        <v>8.85</v>
      </c>
      <c r="AB18" s="164">
        <v>109.61</v>
      </c>
      <c r="AC18" s="164">
        <v>19.73</v>
      </c>
      <c r="AD18" s="164">
        <v>0</v>
      </c>
      <c r="AE18" s="164">
        <v>458</v>
      </c>
      <c r="AF18" s="164">
        <v>0</v>
      </c>
      <c r="AG18" s="164">
        <v>0</v>
      </c>
      <c r="AH18" s="164">
        <v>0.46</v>
      </c>
      <c r="AI18" s="164">
        <v>22.9</v>
      </c>
      <c r="AJ18" s="164">
        <v>0</v>
      </c>
      <c r="AK18" s="164">
        <v>43.09</v>
      </c>
      <c r="AL18" s="164">
        <v>0</v>
      </c>
      <c r="AM18" s="164">
        <v>0</v>
      </c>
      <c r="AN18" s="164">
        <v>0</v>
      </c>
      <c r="AO18" s="164">
        <v>0</v>
      </c>
      <c r="AP18" s="164">
        <v>0</v>
      </c>
      <c r="AQ18" s="164">
        <v>0</v>
      </c>
      <c r="AR18" s="164">
        <v>0</v>
      </c>
      <c r="AS18" s="164">
        <v>0</v>
      </c>
      <c r="AT18" s="164">
        <v>0</v>
      </c>
      <c r="AU18" s="164">
        <v>152.69999999999999</v>
      </c>
      <c r="AV18" s="164">
        <v>0</v>
      </c>
      <c r="AW18" s="164">
        <v>328.2</v>
      </c>
      <c r="AX18" s="164" t="s">
        <v>224</v>
      </c>
      <c r="AY18" s="164" t="s">
        <v>248</v>
      </c>
      <c r="AZ18" s="164" t="s">
        <v>249</v>
      </c>
      <c r="BA18" s="164">
        <v>0</v>
      </c>
      <c r="BB18" s="164" t="s">
        <v>273</v>
      </c>
    </row>
    <row r="19" spans="1:54">
      <c r="A19" s="164" t="s">
        <v>69</v>
      </c>
      <c r="B19" s="164" t="s">
        <v>274</v>
      </c>
      <c r="C19" s="164" t="s">
        <v>275</v>
      </c>
      <c r="D19" s="164" t="s">
        <v>47</v>
      </c>
      <c r="E19" s="164" t="s">
        <v>218</v>
      </c>
      <c r="F19" s="164" t="s">
        <v>219</v>
      </c>
      <c r="G19" s="164" t="s">
        <v>220</v>
      </c>
      <c r="H19" s="164" t="s">
        <v>221</v>
      </c>
      <c r="I19" s="164" t="s">
        <v>222</v>
      </c>
      <c r="J19" s="164" t="s">
        <v>220</v>
      </c>
      <c r="K19" s="164" t="s">
        <v>220</v>
      </c>
      <c r="L19" s="164" t="s">
        <v>220</v>
      </c>
      <c r="M19" s="164" t="s">
        <v>223</v>
      </c>
      <c r="N19" s="164" t="s">
        <v>93</v>
      </c>
      <c r="O19" s="164">
        <v>196</v>
      </c>
      <c r="P19" s="164">
        <v>0</v>
      </c>
      <c r="Q19" s="164">
        <v>0</v>
      </c>
      <c r="R19" s="164">
        <v>0</v>
      </c>
      <c r="S19" s="164">
        <v>0</v>
      </c>
      <c r="T19" s="164">
        <v>0</v>
      </c>
      <c r="U19" s="164">
        <v>0</v>
      </c>
      <c r="V19" s="164">
        <v>9.8000000000000007</v>
      </c>
      <c r="W19" s="164">
        <v>205.8</v>
      </c>
      <c r="X19" s="164">
        <v>196</v>
      </c>
      <c r="Y19" s="164">
        <v>22</v>
      </c>
      <c r="Z19" s="164">
        <v>43.12</v>
      </c>
      <c r="AA19" s="164">
        <v>3.79</v>
      </c>
      <c r="AB19" s="164">
        <v>46.91</v>
      </c>
      <c r="AC19" s="164">
        <v>8.44</v>
      </c>
      <c r="AD19" s="164">
        <v>0</v>
      </c>
      <c r="AE19" s="164">
        <v>196</v>
      </c>
      <c r="AF19" s="164">
        <v>0</v>
      </c>
      <c r="AG19" s="164">
        <v>0</v>
      </c>
      <c r="AH19" s="164">
        <v>0.2</v>
      </c>
      <c r="AI19" s="164">
        <v>9.8000000000000007</v>
      </c>
      <c r="AJ19" s="164">
        <v>0</v>
      </c>
      <c r="AK19" s="164">
        <v>18.440000000000001</v>
      </c>
      <c r="AL19" s="164">
        <v>0</v>
      </c>
      <c r="AM19" s="164">
        <v>0</v>
      </c>
      <c r="AN19" s="164">
        <v>0</v>
      </c>
      <c r="AO19" s="164">
        <v>0</v>
      </c>
      <c r="AP19" s="164">
        <v>0</v>
      </c>
      <c r="AQ19" s="164">
        <v>0</v>
      </c>
      <c r="AR19" s="164">
        <v>0</v>
      </c>
      <c r="AS19" s="164">
        <v>0</v>
      </c>
      <c r="AT19" s="164">
        <v>0</v>
      </c>
      <c r="AU19" s="164">
        <v>65.349999999999994</v>
      </c>
      <c r="AV19" s="164">
        <v>0</v>
      </c>
      <c r="AW19" s="164">
        <v>140.44999999999999</v>
      </c>
      <c r="AX19" s="164" t="s">
        <v>224</v>
      </c>
      <c r="AY19" s="164" t="s">
        <v>248</v>
      </c>
      <c r="AZ19" s="164" t="s">
        <v>249</v>
      </c>
      <c r="BA19" s="164">
        <v>0</v>
      </c>
      <c r="BB19" s="164" t="s">
        <v>276</v>
      </c>
    </row>
    <row r="20" spans="1:54">
      <c r="A20" s="164" t="s">
        <v>70</v>
      </c>
      <c r="B20" s="164" t="s">
        <v>277</v>
      </c>
      <c r="C20" s="164" t="s">
        <v>278</v>
      </c>
      <c r="D20" s="164" t="s">
        <v>47</v>
      </c>
      <c r="E20" s="164" t="s">
        <v>218</v>
      </c>
      <c r="F20" s="164" t="s">
        <v>219</v>
      </c>
      <c r="G20" s="164" t="s">
        <v>220</v>
      </c>
      <c r="H20" s="164" t="s">
        <v>221</v>
      </c>
      <c r="I20" s="164" t="s">
        <v>222</v>
      </c>
      <c r="J20" s="164" t="s">
        <v>220</v>
      </c>
      <c r="K20" s="164" t="s">
        <v>220</v>
      </c>
      <c r="L20" s="164" t="s">
        <v>220</v>
      </c>
      <c r="M20" s="164" t="s">
        <v>223</v>
      </c>
      <c r="N20" s="164" t="s">
        <v>93</v>
      </c>
      <c r="O20" s="164">
        <v>522</v>
      </c>
      <c r="P20" s="164">
        <v>0</v>
      </c>
      <c r="Q20" s="164">
        <v>0</v>
      </c>
      <c r="R20" s="164">
        <v>0</v>
      </c>
      <c r="S20" s="164">
        <v>0</v>
      </c>
      <c r="T20" s="164">
        <v>0</v>
      </c>
      <c r="U20" s="164">
        <v>0</v>
      </c>
      <c r="V20" s="164">
        <v>26.1</v>
      </c>
      <c r="W20" s="164">
        <v>548.1</v>
      </c>
      <c r="X20" s="164">
        <v>522</v>
      </c>
      <c r="Y20" s="164">
        <v>22</v>
      </c>
      <c r="Z20" s="164">
        <v>114.84</v>
      </c>
      <c r="AA20" s="164">
        <v>10.09</v>
      </c>
      <c r="AB20" s="164">
        <v>124.93</v>
      </c>
      <c r="AC20" s="164">
        <v>22.49</v>
      </c>
      <c r="AD20" s="164">
        <v>0</v>
      </c>
      <c r="AE20" s="164">
        <v>522</v>
      </c>
      <c r="AF20" s="164">
        <v>0</v>
      </c>
      <c r="AG20" s="164">
        <v>0</v>
      </c>
      <c r="AH20" s="164">
        <v>0.52</v>
      </c>
      <c r="AI20" s="164">
        <v>26.1</v>
      </c>
      <c r="AJ20" s="164">
        <v>0</v>
      </c>
      <c r="AK20" s="164">
        <v>49.11</v>
      </c>
      <c r="AL20" s="164">
        <v>0</v>
      </c>
      <c r="AM20" s="164">
        <v>0</v>
      </c>
      <c r="AN20" s="164">
        <v>0</v>
      </c>
      <c r="AO20" s="164">
        <v>0</v>
      </c>
      <c r="AP20" s="164">
        <v>0</v>
      </c>
      <c r="AQ20" s="164">
        <v>0</v>
      </c>
      <c r="AR20" s="164">
        <v>0</v>
      </c>
      <c r="AS20" s="164">
        <v>0</v>
      </c>
      <c r="AT20" s="164">
        <v>0</v>
      </c>
      <c r="AU20" s="164">
        <v>174.04</v>
      </c>
      <c r="AV20" s="164">
        <v>0</v>
      </c>
      <c r="AW20" s="164">
        <v>374.06</v>
      </c>
      <c r="AX20" s="164" t="s">
        <v>224</v>
      </c>
      <c r="AY20" s="164" t="s">
        <v>248</v>
      </c>
      <c r="AZ20" s="164" t="s">
        <v>249</v>
      </c>
      <c r="BA20" s="164">
        <v>0</v>
      </c>
      <c r="BB20" s="164" t="s">
        <v>279</v>
      </c>
    </row>
    <row r="21" spans="1:54">
      <c r="A21" s="164" t="s">
        <v>75</v>
      </c>
      <c r="B21" s="164" t="s">
        <v>280</v>
      </c>
      <c r="C21" s="164" t="s">
        <v>281</v>
      </c>
      <c r="D21" s="164" t="s">
        <v>47</v>
      </c>
      <c r="E21" s="164" t="s">
        <v>218</v>
      </c>
      <c r="F21" s="164" t="s">
        <v>219</v>
      </c>
      <c r="G21" s="164" t="s">
        <v>220</v>
      </c>
      <c r="H21" s="164" t="s">
        <v>221</v>
      </c>
      <c r="I21" s="164" t="s">
        <v>222</v>
      </c>
      <c r="J21" s="164" t="s">
        <v>220</v>
      </c>
      <c r="K21" s="164" t="s">
        <v>220</v>
      </c>
      <c r="L21" s="164" t="s">
        <v>220</v>
      </c>
      <c r="M21" s="164" t="s">
        <v>223</v>
      </c>
      <c r="N21" s="164" t="s">
        <v>93</v>
      </c>
      <c r="O21" s="164">
        <v>513</v>
      </c>
      <c r="P21" s="164">
        <v>0</v>
      </c>
      <c r="Q21" s="164">
        <v>0</v>
      </c>
      <c r="R21" s="164">
        <v>0</v>
      </c>
      <c r="S21" s="164">
        <v>0</v>
      </c>
      <c r="T21" s="164">
        <v>0</v>
      </c>
      <c r="U21" s="164">
        <v>0</v>
      </c>
      <c r="V21" s="164">
        <v>25.65</v>
      </c>
      <c r="W21" s="164">
        <v>538.65</v>
      </c>
      <c r="X21" s="164">
        <v>513</v>
      </c>
      <c r="Y21" s="164">
        <v>22</v>
      </c>
      <c r="Z21" s="164">
        <v>112.86</v>
      </c>
      <c r="AA21" s="164">
        <v>9.91</v>
      </c>
      <c r="AB21" s="164">
        <v>122.77</v>
      </c>
      <c r="AC21" s="164">
        <v>22.09</v>
      </c>
      <c r="AD21" s="164">
        <v>0</v>
      </c>
      <c r="AE21" s="164">
        <v>513</v>
      </c>
      <c r="AF21" s="164">
        <v>0</v>
      </c>
      <c r="AG21" s="164">
        <v>0</v>
      </c>
      <c r="AH21" s="164">
        <v>0.51</v>
      </c>
      <c r="AI21" s="164">
        <v>25.65</v>
      </c>
      <c r="AJ21" s="164">
        <v>0</v>
      </c>
      <c r="AK21" s="164">
        <v>48.25</v>
      </c>
      <c r="AL21" s="164">
        <v>0</v>
      </c>
      <c r="AM21" s="164">
        <v>0</v>
      </c>
      <c r="AN21" s="164">
        <v>0</v>
      </c>
      <c r="AO21" s="164">
        <v>0</v>
      </c>
      <c r="AP21" s="164">
        <v>0</v>
      </c>
      <c r="AQ21" s="164">
        <v>0</v>
      </c>
      <c r="AR21" s="164">
        <v>0</v>
      </c>
      <c r="AS21" s="164">
        <v>0</v>
      </c>
      <c r="AT21" s="164">
        <v>0</v>
      </c>
      <c r="AU21" s="164">
        <v>171.02</v>
      </c>
      <c r="AV21" s="164">
        <v>0</v>
      </c>
      <c r="AW21" s="164">
        <v>367.63</v>
      </c>
      <c r="AX21" s="164" t="s">
        <v>224</v>
      </c>
      <c r="AY21" s="164" t="s">
        <v>248</v>
      </c>
      <c r="AZ21" s="164" t="s">
        <v>249</v>
      </c>
      <c r="BA21" s="164">
        <v>0</v>
      </c>
      <c r="BB21" s="164" t="s">
        <v>282</v>
      </c>
    </row>
    <row r="22" spans="1:54">
      <c r="A22" s="164" t="s">
        <v>77</v>
      </c>
      <c r="B22" s="164" t="s">
        <v>283</v>
      </c>
      <c r="C22" s="164" t="s">
        <v>284</v>
      </c>
      <c r="D22" s="164" t="s">
        <v>47</v>
      </c>
      <c r="E22" s="164" t="s">
        <v>218</v>
      </c>
      <c r="F22" s="164" t="s">
        <v>219</v>
      </c>
      <c r="G22" s="164" t="s">
        <v>220</v>
      </c>
      <c r="H22" s="164" t="s">
        <v>221</v>
      </c>
      <c r="I22" s="164" t="s">
        <v>222</v>
      </c>
      <c r="J22" s="164" t="s">
        <v>220</v>
      </c>
      <c r="K22" s="164" t="s">
        <v>220</v>
      </c>
      <c r="L22" s="164" t="s">
        <v>220</v>
      </c>
      <c r="M22" s="164" t="s">
        <v>223</v>
      </c>
      <c r="N22" s="164" t="s">
        <v>93</v>
      </c>
      <c r="O22" s="164">
        <v>284</v>
      </c>
      <c r="P22" s="164">
        <v>0</v>
      </c>
      <c r="Q22" s="164">
        <v>0</v>
      </c>
      <c r="R22" s="164">
        <v>0</v>
      </c>
      <c r="S22" s="164">
        <v>0</v>
      </c>
      <c r="T22" s="164">
        <v>0</v>
      </c>
      <c r="U22" s="164">
        <v>0</v>
      </c>
      <c r="V22" s="164">
        <v>14.2</v>
      </c>
      <c r="W22" s="164">
        <v>298.2</v>
      </c>
      <c r="X22" s="164">
        <v>284</v>
      </c>
      <c r="Y22" s="164">
        <v>22</v>
      </c>
      <c r="Z22" s="164">
        <v>62.48</v>
      </c>
      <c r="AA22" s="164">
        <v>5.49</v>
      </c>
      <c r="AB22" s="164">
        <v>67.97</v>
      </c>
      <c r="AC22" s="164">
        <v>12.24</v>
      </c>
      <c r="AD22" s="164">
        <v>0</v>
      </c>
      <c r="AE22" s="164">
        <v>284</v>
      </c>
      <c r="AF22" s="164">
        <v>0</v>
      </c>
      <c r="AG22" s="164">
        <v>0</v>
      </c>
      <c r="AH22" s="164">
        <v>0.28000000000000003</v>
      </c>
      <c r="AI22" s="164">
        <v>14.2</v>
      </c>
      <c r="AJ22" s="164">
        <v>0</v>
      </c>
      <c r="AK22" s="164">
        <v>26.72</v>
      </c>
      <c r="AL22" s="164">
        <v>0</v>
      </c>
      <c r="AM22" s="164">
        <v>0</v>
      </c>
      <c r="AN22" s="164">
        <v>0</v>
      </c>
      <c r="AO22" s="164">
        <v>0</v>
      </c>
      <c r="AP22" s="164">
        <v>0</v>
      </c>
      <c r="AQ22" s="164">
        <v>0</v>
      </c>
      <c r="AR22" s="164">
        <v>0</v>
      </c>
      <c r="AS22" s="164">
        <v>0</v>
      </c>
      <c r="AT22" s="164">
        <v>0</v>
      </c>
      <c r="AU22" s="164">
        <v>94.69</v>
      </c>
      <c r="AV22" s="164">
        <v>0</v>
      </c>
      <c r="AW22" s="164">
        <v>203.51</v>
      </c>
      <c r="AX22" s="164" t="s">
        <v>224</v>
      </c>
      <c r="AY22" s="164" t="s">
        <v>248</v>
      </c>
      <c r="AZ22" s="164" t="s">
        <v>249</v>
      </c>
      <c r="BA22" s="164">
        <v>0</v>
      </c>
      <c r="BB22" s="164" t="s">
        <v>285</v>
      </c>
    </row>
    <row r="23" spans="1:54">
      <c r="A23" s="164" t="s">
        <v>79</v>
      </c>
      <c r="B23" s="164" t="s">
        <v>286</v>
      </c>
      <c r="C23" s="164" t="s">
        <v>287</v>
      </c>
      <c r="D23" s="164" t="s">
        <v>47</v>
      </c>
      <c r="E23" s="164" t="s">
        <v>218</v>
      </c>
      <c r="F23" s="164" t="s">
        <v>219</v>
      </c>
      <c r="G23" s="164" t="s">
        <v>220</v>
      </c>
      <c r="H23" s="164" t="s">
        <v>221</v>
      </c>
      <c r="I23" s="164" t="s">
        <v>222</v>
      </c>
      <c r="J23" s="164" t="s">
        <v>220</v>
      </c>
      <c r="K23" s="164" t="s">
        <v>220</v>
      </c>
      <c r="L23" s="164" t="s">
        <v>220</v>
      </c>
      <c r="M23" s="164" t="s">
        <v>223</v>
      </c>
      <c r="N23" s="164" t="s">
        <v>93</v>
      </c>
      <c r="O23" s="164">
        <v>294</v>
      </c>
      <c r="P23" s="164">
        <v>0</v>
      </c>
      <c r="Q23" s="164">
        <v>0</v>
      </c>
      <c r="R23" s="164">
        <v>0</v>
      </c>
      <c r="S23" s="164">
        <v>0</v>
      </c>
      <c r="T23" s="164">
        <v>0</v>
      </c>
      <c r="U23" s="164">
        <v>0</v>
      </c>
      <c r="V23" s="164">
        <v>14.7</v>
      </c>
      <c r="W23" s="164">
        <v>308.7</v>
      </c>
      <c r="X23" s="164">
        <v>294</v>
      </c>
      <c r="Y23" s="164">
        <v>22</v>
      </c>
      <c r="Z23" s="164">
        <v>64.680000000000007</v>
      </c>
      <c r="AA23" s="164">
        <v>5.68</v>
      </c>
      <c r="AB23" s="164">
        <v>70.36</v>
      </c>
      <c r="AC23" s="164">
        <v>12.66</v>
      </c>
      <c r="AD23" s="164">
        <v>0</v>
      </c>
      <c r="AE23" s="164">
        <v>294</v>
      </c>
      <c r="AF23" s="164">
        <v>0</v>
      </c>
      <c r="AG23" s="164">
        <v>0</v>
      </c>
      <c r="AH23" s="164">
        <v>0.28999999999999998</v>
      </c>
      <c r="AI23" s="164">
        <v>14.7</v>
      </c>
      <c r="AJ23" s="164">
        <v>0</v>
      </c>
      <c r="AK23" s="164">
        <v>27.65</v>
      </c>
      <c r="AL23" s="164">
        <v>0</v>
      </c>
      <c r="AM23" s="164">
        <v>0</v>
      </c>
      <c r="AN23" s="164">
        <v>0</v>
      </c>
      <c r="AO23" s="164">
        <v>0</v>
      </c>
      <c r="AP23" s="164">
        <v>0</v>
      </c>
      <c r="AQ23" s="164">
        <v>0</v>
      </c>
      <c r="AR23" s="164">
        <v>0</v>
      </c>
      <c r="AS23" s="164">
        <v>0</v>
      </c>
      <c r="AT23" s="164">
        <v>0</v>
      </c>
      <c r="AU23" s="164">
        <v>98.01</v>
      </c>
      <c r="AV23" s="164">
        <v>0</v>
      </c>
      <c r="AW23" s="164">
        <v>210.69</v>
      </c>
      <c r="AX23" s="164" t="s">
        <v>224</v>
      </c>
      <c r="AY23" s="164" t="s">
        <v>248</v>
      </c>
      <c r="AZ23" s="164" t="s">
        <v>249</v>
      </c>
      <c r="BA23" s="164">
        <v>0</v>
      </c>
      <c r="BB23" s="164" t="s">
        <v>288</v>
      </c>
    </row>
    <row r="24" spans="1:54">
      <c r="A24" s="164" t="s">
        <v>289</v>
      </c>
      <c r="B24" s="164" t="s">
        <v>290</v>
      </c>
      <c r="C24" s="164" t="s">
        <v>291</v>
      </c>
      <c r="D24" s="164" t="s">
        <v>47</v>
      </c>
      <c r="E24" s="164" t="s">
        <v>218</v>
      </c>
      <c r="F24" s="164" t="s">
        <v>219</v>
      </c>
      <c r="G24" s="164" t="s">
        <v>220</v>
      </c>
      <c r="H24" s="164" t="s">
        <v>221</v>
      </c>
      <c r="I24" s="164" t="s">
        <v>222</v>
      </c>
      <c r="J24" s="164" t="s">
        <v>220</v>
      </c>
      <c r="K24" s="164" t="s">
        <v>220</v>
      </c>
      <c r="L24" s="164" t="s">
        <v>220</v>
      </c>
      <c r="M24" s="164" t="s">
        <v>223</v>
      </c>
      <c r="N24" s="164" t="s">
        <v>93</v>
      </c>
      <c r="O24" s="164">
        <v>832</v>
      </c>
      <c r="P24" s="164">
        <v>0</v>
      </c>
      <c r="Q24" s="164">
        <v>0</v>
      </c>
      <c r="R24" s="164">
        <v>0</v>
      </c>
      <c r="S24" s="164">
        <v>0</v>
      </c>
      <c r="T24" s="164">
        <v>0</v>
      </c>
      <c r="U24" s="164">
        <v>0</v>
      </c>
      <c r="V24" s="164">
        <v>41.6</v>
      </c>
      <c r="W24" s="164">
        <v>873.6</v>
      </c>
      <c r="X24" s="164">
        <v>832</v>
      </c>
      <c r="Y24" s="164">
        <v>22</v>
      </c>
      <c r="Z24" s="164">
        <v>183.04</v>
      </c>
      <c r="AA24" s="164">
        <v>16.07</v>
      </c>
      <c r="AB24" s="164">
        <v>199.11</v>
      </c>
      <c r="AC24" s="164">
        <v>35.840000000000003</v>
      </c>
      <c r="AD24" s="164">
        <v>0</v>
      </c>
      <c r="AE24" s="164">
        <v>832</v>
      </c>
      <c r="AF24" s="164">
        <v>0</v>
      </c>
      <c r="AG24" s="164">
        <v>0</v>
      </c>
      <c r="AH24" s="164">
        <v>0.83</v>
      </c>
      <c r="AI24" s="164">
        <v>41.6</v>
      </c>
      <c r="AJ24" s="164">
        <v>0</v>
      </c>
      <c r="AK24" s="164">
        <v>78.27</v>
      </c>
      <c r="AL24" s="164">
        <v>0</v>
      </c>
      <c r="AM24" s="164">
        <v>0</v>
      </c>
      <c r="AN24" s="164">
        <v>0</v>
      </c>
      <c r="AO24" s="164">
        <v>0</v>
      </c>
      <c r="AP24" s="164">
        <v>0</v>
      </c>
      <c r="AQ24" s="164">
        <v>0</v>
      </c>
      <c r="AR24" s="164">
        <v>0</v>
      </c>
      <c r="AS24" s="164">
        <v>0</v>
      </c>
      <c r="AT24" s="164">
        <v>0</v>
      </c>
      <c r="AU24" s="164">
        <v>277.38</v>
      </c>
      <c r="AV24" s="164">
        <v>0</v>
      </c>
      <c r="AW24" s="164">
        <v>596.22</v>
      </c>
      <c r="AX24" s="164" t="s">
        <v>224</v>
      </c>
      <c r="AY24" s="164" t="s">
        <v>248</v>
      </c>
      <c r="AZ24" s="164" t="s">
        <v>249</v>
      </c>
      <c r="BA24" s="164">
        <v>0</v>
      </c>
      <c r="BB24" s="164" t="s">
        <v>292</v>
      </c>
    </row>
    <row r="25" spans="1:54">
      <c r="A25" s="164" t="s">
        <v>293</v>
      </c>
      <c r="B25" s="164" t="s">
        <v>294</v>
      </c>
      <c r="C25" s="164" t="s">
        <v>295</v>
      </c>
      <c r="D25" s="164" t="s">
        <v>47</v>
      </c>
      <c r="E25" s="164" t="s">
        <v>218</v>
      </c>
      <c r="F25" s="164" t="s">
        <v>219</v>
      </c>
      <c r="G25" s="164" t="s">
        <v>220</v>
      </c>
      <c r="H25" s="164" t="s">
        <v>221</v>
      </c>
      <c r="I25" s="164" t="s">
        <v>222</v>
      </c>
      <c r="J25" s="164" t="s">
        <v>220</v>
      </c>
      <c r="K25" s="164" t="s">
        <v>220</v>
      </c>
      <c r="L25" s="164" t="s">
        <v>220</v>
      </c>
      <c r="M25" s="164" t="s">
        <v>223</v>
      </c>
      <c r="N25" s="164" t="s">
        <v>93</v>
      </c>
      <c r="O25" s="164">
        <v>261</v>
      </c>
      <c r="P25" s="164">
        <v>0</v>
      </c>
      <c r="Q25" s="164">
        <v>0</v>
      </c>
      <c r="R25" s="164">
        <v>0</v>
      </c>
      <c r="S25" s="164">
        <v>0</v>
      </c>
      <c r="T25" s="164">
        <v>0</v>
      </c>
      <c r="U25" s="164">
        <v>0</v>
      </c>
      <c r="V25" s="164">
        <v>13.05</v>
      </c>
      <c r="W25" s="164">
        <v>274.05</v>
      </c>
      <c r="X25" s="164">
        <v>261</v>
      </c>
      <c r="Y25" s="164">
        <v>22</v>
      </c>
      <c r="Z25" s="164">
        <v>57.42</v>
      </c>
      <c r="AA25" s="164">
        <v>5.04</v>
      </c>
      <c r="AB25" s="164">
        <v>62.46</v>
      </c>
      <c r="AC25" s="164">
        <v>11.25</v>
      </c>
      <c r="AD25" s="164">
        <v>0</v>
      </c>
      <c r="AE25" s="164">
        <v>261</v>
      </c>
      <c r="AF25" s="164">
        <v>0</v>
      </c>
      <c r="AG25" s="164">
        <v>0</v>
      </c>
      <c r="AH25" s="164">
        <v>0.26</v>
      </c>
      <c r="AI25" s="164">
        <v>13.05</v>
      </c>
      <c r="AJ25" s="164">
        <v>0</v>
      </c>
      <c r="AK25" s="164">
        <v>24.56</v>
      </c>
      <c r="AL25" s="164">
        <v>0</v>
      </c>
      <c r="AM25" s="164">
        <v>0</v>
      </c>
      <c r="AN25" s="164">
        <v>0</v>
      </c>
      <c r="AO25" s="164">
        <v>0</v>
      </c>
      <c r="AP25" s="164">
        <v>0</v>
      </c>
      <c r="AQ25" s="164">
        <v>0</v>
      </c>
      <c r="AR25" s="164">
        <v>0</v>
      </c>
      <c r="AS25" s="164">
        <v>0</v>
      </c>
      <c r="AT25" s="164">
        <v>0</v>
      </c>
      <c r="AU25" s="164">
        <v>87.02</v>
      </c>
      <c r="AV25" s="164">
        <v>0</v>
      </c>
      <c r="AW25" s="164">
        <v>187.03</v>
      </c>
      <c r="AX25" s="164" t="s">
        <v>224</v>
      </c>
      <c r="AY25" s="164" t="s">
        <v>248</v>
      </c>
      <c r="AZ25" s="164" t="s">
        <v>249</v>
      </c>
      <c r="BA25" s="164">
        <v>0</v>
      </c>
      <c r="BB25" s="164" t="s">
        <v>296</v>
      </c>
    </row>
    <row r="26" spans="1:54">
      <c r="A26" s="164" t="s">
        <v>87</v>
      </c>
      <c r="B26" s="164" t="s">
        <v>297</v>
      </c>
      <c r="C26" s="164" t="s">
        <v>298</v>
      </c>
      <c r="D26" s="164" t="s">
        <v>47</v>
      </c>
      <c r="E26" s="164" t="s">
        <v>218</v>
      </c>
      <c r="F26" s="164" t="s">
        <v>219</v>
      </c>
      <c r="G26" s="164" t="s">
        <v>220</v>
      </c>
      <c r="H26" s="164" t="s">
        <v>221</v>
      </c>
      <c r="I26" s="164" t="s">
        <v>222</v>
      </c>
      <c r="J26" s="164" t="s">
        <v>220</v>
      </c>
      <c r="K26" s="164" t="s">
        <v>220</v>
      </c>
      <c r="L26" s="164" t="s">
        <v>220</v>
      </c>
      <c r="M26" s="164" t="s">
        <v>223</v>
      </c>
      <c r="N26" s="164" t="s">
        <v>93</v>
      </c>
      <c r="O26" s="164">
        <v>458</v>
      </c>
      <c r="P26" s="164">
        <v>0</v>
      </c>
      <c r="Q26" s="164">
        <v>0</v>
      </c>
      <c r="R26" s="164">
        <v>0</v>
      </c>
      <c r="S26" s="164">
        <v>0</v>
      </c>
      <c r="T26" s="164">
        <v>0</v>
      </c>
      <c r="U26" s="164">
        <v>0</v>
      </c>
      <c r="V26" s="164">
        <v>22.9</v>
      </c>
      <c r="W26" s="164">
        <v>480.9</v>
      </c>
      <c r="X26" s="164">
        <v>458</v>
      </c>
      <c r="Y26" s="164">
        <v>22</v>
      </c>
      <c r="Z26" s="164">
        <v>100.76</v>
      </c>
      <c r="AA26" s="164">
        <v>8.85</v>
      </c>
      <c r="AB26" s="164">
        <v>109.61</v>
      </c>
      <c r="AC26" s="164">
        <v>19.73</v>
      </c>
      <c r="AD26" s="164">
        <v>0</v>
      </c>
      <c r="AE26" s="164">
        <v>458</v>
      </c>
      <c r="AF26" s="164">
        <v>0</v>
      </c>
      <c r="AG26" s="164">
        <v>0</v>
      </c>
      <c r="AH26" s="164">
        <v>0.46</v>
      </c>
      <c r="AI26" s="164">
        <v>22.9</v>
      </c>
      <c r="AJ26" s="164">
        <v>0</v>
      </c>
      <c r="AK26" s="164">
        <v>43.09</v>
      </c>
      <c r="AL26" s="164">
        <v>0</v>
      </c>
      <c r="AM26" s="164">
        <v>0</v>
      </c>
      <c r="AN26" s="164">
        <v>0</v>
      </c>
      <c r="AO26" s="164">
        <v>0</v>
      </c>
      <c r="AP26" s="164">
        <v>0</v>
      </c>
      <c r="AQ26" s="164">
        <v>0</v>
      </c>
      <c r="AR26" s="164">
        <v>0</v>
      </c>
      <c r="AS26" s="164">
        <v>0</v>
      </c>
      <c r="AT26" s="164">
        <v>0</v>
      </c>
      <c r="AU26" s="164">
        <v>152.69999999999999</v>
      </c>
      <c r="AV26" s="164">
        <v>0</v>
      </c>
      <c r="AW26" s="164">
        <v>328.2</v>
      </c>
      <c r="AX26" s="164" t="s">
        <v>224</v>
      </c>
      <c r="AY26" s="164" t="s">
        <v>248</v>
      </c>
      <c r="AZ26" s="164" t="s">
        <v>249</v>
      </c>
      <c r="BA26" s="164">
        <v>0</v>
      </c>
      <c r="BB26" s="164" t="s">
        <v>299</v>
      </c>
    </row>
    <row r="27" spans="1:54">
      <c r="A27" s="164" t="s">
        <v>89</v>
      </c>
      <c r="B27" s="164" t="s">
        <v>300</v>
      </c>
      <c r="C27" s="164" t="s">
        <v>301</v>
      </c>
      <c r="D27" s="164" t="s">
        <v>47</v>
      </c>
      <c r="E27" s="164" t="s">
        <v>218</v>
      </c>
      <c r="F27" s="164" t="s">
        <v>219</v>
      </c>
      <c r="G27" s="164" t="s">
        <v>220</v>
      </c>
      <c r="H27" s="164" t="s">
        <v>221</v>
      </c>
      <c r="I27" s="164" t="s">
        <v>222</v>
      </c>
      <c r="J27" s="164" t="s">
        <v>220</v>
      </c>
      <c r="K27" s="164" t="s">
        <v>220</v>
      </c>
      <c r="L27" s="164" t="s">
        <v>220</v>
      </c>
      <c r="M27" s="164" t="s">
        <v>223</v>
      </c>
      <c r="N27" s="164" t="s">
        <v>93</v>
      </c>
      <c r="O27" s="164">
        <v>229</v>
      </c>
      <c r="P27" s="164">
        <v>0</v>
      </c>
      <c r="Q27" s="164">
        <v>0</v>
      </c>
      <c r="R27" s="164">
        <v>0</v>
      </c>
      <c r="S27" s="164">
        <v>0</v>
      </c>
      <c r="T27" s="164">
        <v>0</v>
      </c>
      <c r="U27" s="164">
        <v>0</v>
      </c>
      <c r="V27" s="164">
        <v>11.45</v>
      </c>
      <c r="W27" s="164">
        <v>240.45</v>
      </c>
      <c r="X27" s="164">
        <v>229</v>
      </c>
      <c r="Y27" s="164">
        <v>22</v>
      </c>
      <c r="Z27" s="164">
        <v>50.38</v>
      </c>
      <c r="AA27" s="164">
        <v>4.42</v>
      </c>
      <c r="AB27" s="164">
        <v>54.8</v>
      </c>
      <c r="AC27" s="164">
        <v>9.8699999999999992</v>
      </c>
      <c r="AD27" s="164">
        <v>0</v>
      </c>
      <c r="AE27" s="164">
        <v>229</v>
      </c>
      <c r="AF27" s="164">
        <v>0</v>
      </c>
      <c r="AG27" s="164">
        <v>0</v>
      </c>
      <c r="AH27" s="164">
        <v>0.23</v>
      </c>
      <c r="AI27" s="164">
        <v>11.45</v>
      </c>
      <c r="AJ27" s="164">
        <v>0</v>
      </c>
      <c r="AK27" s="164">
        <v>21.55</v>
      </c>
      <c r="AL27" s="164">
        <v>0</v>
      </c>
      <c r="AM27" s="164">
        <v>0</v>
      </c>
      <c r="AN27" s="164">
        <v>0</v>
      </c>
      <c r="AO27" s="164">
        <v>0</v>
      </c>
      <c r="AP27" s="164">
        <v>0</v>
      </c>
      <c r="AQ27" s="164">
        <v>0</v>
      </c>
      <c r="AR27" s="164">
        <v>0</v>
      </c>
      <c r="AS27" s="164">
        <v>0</v>
      </c>
      <c r="AT27" s="164">
        <v>0</v>
      </c>
      <c r="AU27" s="164">
        <v>76.349999999999994</v>
      </c>
      <c r="AV27" s="164">
        <v>0</v>
      </c>
      <c r="AW27" s="164">
        <v>164.1</v>
      </c>
      <c r="AX27" s="164" t="s">
        <v>224</v>
      </c>
      <c r="AY27" s="164" t="s">
        <v>248</v>
      </c>
      <c r="AZ27" s="164" t="s">
        <v>249</v>
      </c>
      <c r="BA27" s="164">
        <v>0</v>
      </c>
      <c r="BB27" s="164" t="s">
        <v>302</v>
      </c>
    </row>
    <row r="28" spans="1:54">
      <c r="A28" s="164" t="s">
        <v>91</v>
      </c>
      <c r="B28" s="164" t="s">
        <v>303</v>
      </c>
      <c r="C28" s="164" t="s">
        <v>304</v>
      </c>
      <c r="D28" s="164" t="s">
        <v>47</v>
      </c>
      <c r="E28" s="164" t="s">
        <v>218</v>
      </c>
      <c r="F28" s="164" t="s">
        <v>219</v>
      </c>
      <c r="G28" s="164" t="s">
        <v>220</v>
      </c>
      <c r="H28" s="164" t="s">
        <v>221</v>
      </c>
      <c r="I28" s="164" t="s">
        <v>222</v>
      </c>
      <c r="J28" s="164" t="s">
        <v>220</v>
      </c>
      <c r="K28" s="164" t="s">
        <v>220</v>
      </c>
      <c r="L28" s="164" t="s">
        <v>220</v>
      </c>
      <c r="M28" s="164" t="s">
        <v>223</v>
      </c>
      <c r="N28" s="164" t="s">
        <v>93</v>
      </c>
      <c r="O28" s="164">
        <v>458</v>
      </c>
      <c r="P28" s="164">
        <v>0</v>
      </c>
      <c r="Q28" s="164">
        <v>0</v>
      </c>
      <c r="R28" s="164">
        <v>0</v>
      </c>
      <c r="S28" s="164">
        <v>0</v>
      </c>
      <c r="T28" s="164">
        <v>0</v>
      </c>
      <c r="U28" s="164">
        <v>0</v>
      </c>
      <c r="V28" s="164">
        <v>22.9</v>
      </c>
      <c r="W28" s="164">
        <v>480.9</v>
      </c>
      <c r="X28" s="164">
        <v>458</v>
      </c>
      <c r="Y28" s="164">
        <v>22</v>
      </c>
      <c r="Z28" s="164">
        <v>100.76</v>
      </c>
      <c r="AA28" s="164">
        <v>8.85</v>
      </c>
      <c r="AB28" s="164">
        <v>109.61</v>
      </c>
      <c r="AC28" s="164">
        <v>19.73</v>
      </c>
      <c r="AD28" s="164">
        <v>0</v>
      </c>
      <c r="AE28" s="164">
        <v>458</v>
      </c>
      <c r="AF28" s="164">
        <v>0</v>
      </c>
      <c r="AG28" s="164">
        <v>0</v>
      </c>
      <c r="AH28" s="164">
        <v>0.46</v>
      </c>
      <c r="AI28" s="164">
        <v>22.9</v>
      </c>
      <c r="AJ28" s="164">
        <v>0</v>
      </c>
      <c r="AK28" s="164">
        <v>43.09</v>
      </c>
      <c r="AL28" s="164">
        <v>0</v>
      </c>
      <c r="AM28" s="164">
        <v>0</v>
      </c>
      <c r="AN28" s="164">
        <v>0</v>
      </c>
      <c r="AO28" s="164">
        <v>0</v>
      </c>
      <c r="AP28" s="164">
        <v>0</v>
      </c>
      <c r="AQ28" s="164">
        <v>0</v>
      </c>
      <c r="AR28" s="164">
        <v>0</v>
      </c>
      <c r="AS28" s="164">
        <v>0</v>
      </c>
      <c r="AT28" s="164">
        <v>0</v>
      </c>
      <c r="AU28" s="164">
        <v>152.69999999999999</v>
      </c>
      <c r="AV28" s="164">
        <v>0</v>
      </c>
      <c r="AW28" s="164">
        <v>328.2</v>
      </c>
      <c r="AX28" s="164" t="s">
        <v>224</v>
      </c>
      <c r="AY28" s="164" t="s">
        <v>248</v>
      </c>
      <c r="AZ28" s="164" t="s">
        <v>249</v>
      </c>
      <c r="BA28" s="164">
        <v>0</v>
      </c>
      <c r="BB28" s="164" t="s">
        <v>305</v>
      </c>
    </row>
    <row r="29" spans="1:54">
      <c r="A29" s="164" t="s">
        <v>93</v>
      </c>
      <c r="B29" s="164" t="s">
        <v>306</v>
      </c>
      <c r="C29" s="164" t="s">
        <v>307</v>
      </c>
      <c r="D29" s="164" t="s">
        <v>47</v>
      </c>
      <c r="E29" s="164" t="s">
        <v>218</v>
      </c>
      <c r="F29" s="164" t="s">
        <v>219</v>
      </c>
      <c r="G29" s="164" t="s">
        <v>220</v>
      </c>
      <c r="H29" s="164" t="s">
        <v>221</v>
      </c>
      <c r="I29" s="164" t="s">
        <v>222</v>
      </c>
      <c r="J29" s="164" t="s">
        <v>220</v>
      </c>
      <c r="K29" s="164" t="s">
        <v>220</v>
      </c>
      <c r="L29" s="164" t="s">
        <v>220</v>
      </c>
      <c r="M29" s="164" t="s">
        <v>223</v>
      </c>
      <c r="N29" s="164" t="s">
        <v>93</v>
      </c>
      <c r="O29" s="164">
        <v>284</v>
      </c>
      <c r="P29" s="164">
        <v>0</v>
      </c>
      <c r="Q29" s="164">
        <v>0</v>
      </c>
      <c r="R29" s="164">
        <v>0</v>
      </c>
      <c r="S29" s="164">
        <v>0</v>
      </c>
      <c r="T29" s="164">
        <v>0</v>
      </c>
      <c r="U29" s="164">
        <v>0</v>
      </c>
      <c r="V29" s="164">
        <v>14.2</v>
      </c>
      <c r="W29" s="164">
        <v>298.2</v>
      </c>
      <c r="X29" s="164">
        <v>284</v>
      </c>
      <c r="Y29" s="164">
        <v>22</v>
      </c>
      <c r="Z29" s="164">
        <v>62.48</v>
      </c>
      <c r="AA29" s="164">
        <v>5.49</v>
      </c>
      <c r="AB29" s="164">
        <v>67.97</v>
      </c>
      <c r="AC29" s="164">
        <v>12.24</v>
      </c>
      <c r="AD29" s="164">
        <v>0</v>
      </c>
      <c r="AE29" s="164">
        <v>284</v>
      </c>
      <c r="AF29" s="164">
        <v>0</v>
      </c>
      <c r="AG29" s="164">
        <v>0</v>
      </c>
      <c r="AH29" s="164">
        <v>0.28000000000000003</v>
      </c>
      <c r="AI29" s="164">
        <v>14.2</v>
      </c>
      <c r="AJ29" s="164">
        <v>0</v>
      </c>
      <c r="AK29" s="164">
        <v>26.72</v>
      </c>
      <c r="AL29" s="164">
        <v>0</v>
      </c>
      <c r="AM29" s="164">
        <v>0</v>
      </c>
      <c r="AN29" s="164">
        <v>0</v>
      </c>
      <c r="AO29" s="164">
        <v>0</v>
      </c>
      <c r="AP29" s="164">
        <v>0</v>
      </c>
      <c r="AQ29" s="164">
        <v>0</v>
      </c>
      <c r="AR29" s="164">
        <v>0</v>
      </c>
      <c r="AS29" s="164">
        <v>0</v>
      </c>
      <c r="AT29" s="164">
        <v>0</v>
      </c>
      <c r="AU29" s="164">
        <v>94.69</v>
      </c>
      <c r="AV29" s="164">
        <v>0</v>
      </c>
      <c r="AW29" s="164">
        <v>203.51</v>
      </c>
      <c r="AX29" s="164" t="s">
        <v>224</v>
      </c>
      <c r="AY29" s="164" t="s">
        <v>248</v>
      </c>
      <c r="AZ29" s="164" t="s">
        <v>249</v>
      </c>
      <c r="BA29" s="164">
        <v>0</v>
      </c>
      <c r="BB29" s="164" t="s">
        <v>308</v>
      </c>
    </row>
    <row r="30" spans="1:54">
      <c r="A30" s="164" t="s">
        <v>309</v>
      </c>
      <c r="B30" s="164" t="s">
        <v>310</v>
      </c>
      <c r="C30" s="164" t="s">
        <v>311</v>
      </c>
      <c r="D30" s="164" t="s">
        <v>47</v>
      </c>
      <c r="E30" s="164" t="s">
        <v>218</v>
      </c>
      <c r="F30" s="164" t="s">
        <v>219</v>
      </c>
      <c r="G30" s="164" t="s">
        <v>220</v>
      </c>
      <c r="H30" s="164" t="s">
        <v>221</v>
      </c>
      <c r="I30" s="164" t="s">
        <v>222</v>
      </c>
      <c r="J30" s="164" t="s">
        <v>220</v>
      </c>
      <c r="K30" s="164" t="s">
        <v>220</v>
      </c>
      <c r="L30" s="164" t="s">
        <v>220</v>
      </c>
      <c r="M30" s="164" t="s">
        <v>223</v>
      </c>
      <c r="N30" s="164" t="s">
        <v>93</v>
      </c>
      <c r="O30" s="164">
        <v>578</v>
      </c>
      <c r="P30" s="164">
        <v>0</v>
      </c>
      <c r="Q30" s="164">
        <v>0</v>
      </c>
      <c r="R30" s="164">
        <v>0</v>
      </c>
      <c r="S30" s="164">
        <v>0</v>
      </c>
      <c r="T30" s="164">
        <v>0</v>
      </c>
      <c r="U30" s="164">
        <v>0</v>
      </c>
      <c r="V30" s="164">
        <v>28.9</v>
      </c>
      <c r="W30" s="164">
        <v>606.9</v>
      </c>
      <c r="X30" s="164">
        <v>578</v>
      </c>
      <c r="Y30" s="164">
        <v>22</v>
      </c>
      <c r="Z30" s="164">
        <v>127.16</v>
      </c>
      <c r="AA30" s="164">
        <v>11.17</v>
      </c>
      <c r="AB30" s="164">
        <v>138.33000000000001</v>
      </c>
      <c r="AC30" s="164">
        <v>24.9</v>
      </c>
      <c r="AD30" s="164">
        <v>0</v>
      </c>
      <c r="AE30" s="164">
        <v>578</v>
      </c>
      <c r="AF30" s="164">
        <v>0</v>
      </c>
      <c r="AG30" s="164">
        <v>0</v>
      </c>
      <c r="AH30" s="164">
        <v>0.57999999999999996</v>
      </c>
      <c r="AI30" s="164">
        <v>28.9</v>
      </c>
      <c r="AJ30" s="164">
        <v>0</v>
      </c>
      <c r="AK30" s="164">
        <v>54.38</v>
      </c>
      <c r="AL30" s="164">
        <v>0</v>
      </c>
      <c r="AM30" s="164">
        <v>0</v>
      </c>
      <c r="AN30" s="164">
        <v>0</v>
      </c>
      <c r="AO30" s="164">
        <v>0</v>
      </c>
      <c r="AP30" s="164">
        <v>0</v>
      </c>
      <c r="AQ30" s="164">
        <v>0</v>
      </c>
      <c r="AR30" s="164">
        <v>0</v>
      </c>
      <c r="AS30" s="164">
        <v>0</v>
      </c>
      <c r="AT30" s="164">
        <v>0</v>
      </c>
      <c r="AU30" s="164">
        <v>192.71</v>
      </c>
      <c r="AV30" s="164">
        <v>0</v>
      </c>
      <c r="AW30" s="164">
        <v>414.19</v>
      </c>
      <c r="AX30" s="164" t="s">
        <v>224</v>
      </c>
      <c r="AY30" s="164" t="s">
        <v>248</v>
      </c>
      <c r="AZ30" s="164" t="s">
        <v>249</v>
      </c>
      <c r="BA30" s="164">
        <v>0</v>
      </c>
      <c r="BB30" s="164" t="s">
        <v>292</v>
      </c>
    </row>
    <row r="31" spans="1:54">
      <c r="A31" s="164" t="s">
        <v>312</v>
      </c>
      <c r="B31" s="164" t="s">
        <v>313</v>
      </c>
      <c r="C31" s="164" t="s">
        <v>314</v>
      </c>
      <c r="D31" s="164" t="s">
        <v>47</v>
      </c>
      <c r="E31" s="164" t="s">
        <v>218</v>
      </c>
      <c r="F31" s="164" t="s">
        <v>219</v>
      </c>
      <c r="G31" s="164" t="s">
        <v>220</v>
      </c>
      <c r="H31" s="164" t="s">
        <v>221</v>
      </c>
      <c r="I31" s="164" t="s">
        <v>222</v>
      </c>
      <c r="J31" s="164" t="s">
        <v>220</v>
      </c>
      <c r="K31" s="164" t="s">
        <v>220</v>
      </c>
      <c r="L31" s="164" t="s">
        <v>220</v>
      </c>
      <c r="M31" s="164" t="s">
        <v>223</v>
      </c>
      <c r="N31" s="164" t="s">
        <v>93</v>
      </c>
      <c r="O31" s="164">
        <v>284</v>
      </c>
      <c r="P31" s="164">
        <v>0</v>
      </c>
      <c r="Q31" s="164">
        <v>0</v>
      </c>
      <c r="R31" s="164">
        <v>0</v>
      </c>
      <c r="S31" s="164">
        <v>0</v>
      </c>
      <c r="T31" s="164">
        <v>0</v>
      </c>
      <c r="U31" s="164">
        <v>0</v>
      </c>
      <c r="V31" s="164">
        <v>14.2</v>
      </c>
      <c r="W31" s="164">
        <v>298.2</v>
      </c>
      <c r="X31" s="164">
        <v>284</v>
      </c>
      <c r="Y31" s="164">
        <v>22</v>
      </c>
      <c r="Z31" s="164">
        <v>62.48</v>
      </c>
      <c r="AA31" s="164">
        <v>5.49</v>
      </c>
      <c r="AB31" s="164">
        <v>67.97</v>
      </c>
      <c r="AC31" s="164">
        <v>12.24</v>
      </c>
      <c r="AD31" s="164">
        <v>0</v>
      </c>
      <c r="AE31" s="164">
        <v>284</v>
      </c>
      <c r="AF31" s="164">
        <v>0</v>
      </c>
      <c r="AG31" s="164">
        <v>0</v>
      </c>
      <c r="AH31" s="164">
        <v>0.28000000000000003</v>
      </c>
      <c r="AI31" s="164">
        <v>14.2</v>
      </c>
      <c r="AJ31" s="164">
        <v>0</v>
      </c>
      <c r="AK31" s="164">
        <v>26.72</v>
      </c>
      <c r="AL31" s="164">
        <v>0</v>
      </c>
      <c r="AM31" s="164">
        <v>0</v>
      </c>
      <c r="AN31" s="164">
        <v>0</v>
      </c>
      <c r="AO31" s="164">
        <v>0</v>
      </c>
      <c r="AP31" s="164">
        <v>0</v>
      </c>
      <c r="AQ31" s="164">
        <v>0</v>
      </c>
      <c r="AR31" s="164">
        <v>0</v>
      </c>
      <c r="AS31" s="164">
        <v>0</v>
      </c>
      <c r="AT31" s="164">
        <v>0</v>
      </c>
      <c r="AU31" s="164">
        <v>94.69</v>
      </c>
      <c r="AV31" s="164">
        <v>0</v>
      </c>
      <c r="AW31" s="164">
        <v>203.51</v>
      </c>
      <c r="AX31" s="164" t="s">
        <v>224</v>
      </c>
      <c r="AY31" s="164" t="s">
        <v>248</v>
      </c>
      <c r="AZ31" s="164" t="s">
        <v>249</v>
      </c>
      <c r="BA31" s="164">
        <v>0</v>
      </c>
      <c r="BB31" s="164" t="s">
        <v>315</v>
      </c>
    </row>
    <row r="32" spans="1:54">
      <c r="A32" s="164" t="s">
        <v>316</v>
      </c>
      <c r="B32" s="164" t="s">
        <v>317</v>
      </c>
      <c r="C32" s="164" t="s">
        <v>318</v>
      </c>
      <c r="D32" s="164" t="s">
        <v>47</v>
      </c>
      <c r="E32" s="164" t="s">
        <v>218</v>
      </c>
      <c r="F32" s="164" t="s">
        <v>219</v>
      </c>
      <c r="G32" s="164" t="s">
        <v>220</v>
      </c>
      <c r="H32" s="164" t="s">
        <v>221</v>
      </c>
      <c r="I32" s="164" t="s">
        <v>222</v>
      </c>
      <c r="J32" s="164" t="s">
        <v>220</v>
      </c>
      <c r="K32" s="164" t="s">
        <v>220</v>
      </c>
      <c r="L32" s="164" t="s">
        <v>220</v>
      </c>
      <c r="M32" s="164" t="s">
        <v>223</v>
      </c>
      <c r="N32" s="164" t="s">
        <v>93</v>
      </c>
      <c r="O32" s="164">
        <v>249</v>
      </c>
      <c r="P32" s="164">
        <v>0</v>
      </c>
      <c r="Q32" s="164">
        <v>0</v>
      </c>
      <c r="R32" s="164">
        <v>0</v>
      </c>
      <c r="S32" s="164">
        <v>0</v>
      </c>
      <c r="T32" s="164">
        <v>0</v>
      </c>
      <c r="U32" s="164">
        <v>0</v>
      </c>
      <c r="V32" s="164">
        <v>12.45</v>
      </c>
      <c r="W32" s="164">
        <v>261.45</v>
      </c>
      <c r="X32" s="164">
        <v>249</v>
      </c>
      <c r="Y32" s="164">
        <v>22</v>
      </c>
      <c r="Z32" s="164">
        <v>54.78</v>
      </c>
      <c r="AA32" s="164">
        <v>4.8099999999999996</v>
      </c>
      <c r="AB32" s="164">
        <v>59.59</v>
      </c>
      <c r="AC32" s="164">
        <v>10.73</v>
      </c>
      <c r="AD32" s="164">
        <v>0</v>
      </c>
      <c r="AE32" s="164">
        <v>249</v>
      </c>
      <c r="AF32" s="164">
        <v>0</v>
      </c>
      <c r="AG32" s="164">
        <v>0</v>
      </c>
      <c r="AH32" s="164">
        <v>0.25</v>
      </c>
      <c r="AI32" s="164">
        <v>12.45</v>
      </c>
      <c r="AJ32" s="164">
        <v>0</v>
      </c>
      <c r="AK32" s="164">
        <v>23.43</v>
      </c>
      <c r="AL32" s="164">
        <v>0</v>
      </c>
      <c r="AM32" s="164">
        <v>0</v>
      </c>
      <c r="AN32" s="164">
        <v>0</v>
      </c>
      <c r="AO32" s="164">
        <v>0</v>
      </c>
      <c r="AP32" s="164">
        <v>0</v>
      </c>
      <c r="AQ32" s="164">
        <v>0</v>
      </c>
      <c r="AR32" s="164">
        <v>0</v>
      </c>
      <c r="AS32" s="164">
        <v>0</v>
      </c>
      <c r="AT32" s="164">
        <v>0</v>
      </c>
      <c r="AU32" s="164">
        <v>83.02</v>
      </c>
      <c r="AV32" s="164">
        <v>0</v>
      </c>
      <c r="AW32" s="164">
        <v>178.43</v>
      </c>
      <c r="AX32" s="164" t="s">
        <v>224</v>
      </c>
      <c r="AY32" s="164" t="s">
        <v>248</v>
      </c>
      <c r="AZ32" s="164" t="s">
        <v>249</v>
      </c>
      <c r="BA32" s="164">
        <v>0</v>
      </c>
      <c r="BB32" s="164" t="s">
        <v>227</v>
      </c>
    </row>
    <row r="33" spans="1:54">
      <c r="A33" s="164" t="s">
        <v>319</v>
      </c>
      <c r="B33" s="164" t="s">
        <v>320</v>
      </c>
      <c r="C33" s="164" t="s">
        <v>321</v>
      </c>
      <c r="D33" s="164" t="s">
        <v>47</v>
      </c>
      <c r="E33" s="164" t="s">
        <v>218</v>
      </c>
      <c r="F33" s="164" t="s">
        <v>219</v>
      </c>
      <c r="G33" s="164" t="s">
        <v>220</v>
      </c>
      <c r="H33" s="164" t="s">
        <v>221</v>
      </c>
      <c r="I33" s="164" t="s">
        <v>222</v>
      </c>
      <c r="J33" s="164" t="s">
        <v>220</v>
      </c>
      <c r="K33" s="164" t="s">
        <v>220</v>
      </c>
      <c r="L33" s="164" t="s">
        <v>220</v>
      </c>
      <c r="M33" s="164" t="s">
        <v>223</v>
      </c>
      <c r="N33" s="164" t="s">
        <v>93</v>
      </c>
      <c r="O33" s="164">
        <v>637</v>
      </c>
      <c r="P33" s="164">
        <v>0</v>
      </c>
      <c r="Q33" s="164">
        <v>0</v>
      </c>
      <c r="R33" s="164">
        <v>0</v>
      </c>
      <c r="S33" s="164">
        <v>0</v>
      </c>
      <c r="T33" s="164">
        <v>0</v>
      </c>
      <c r="U33" s="164">
        <v>0</v>
      </c>
      <c r="V33" s="164">
        <v>31.85</v>
      </c>
      <c r="W33" s="164">
        <v>668.85</v>
      </c>
      <c r="X33" s="164">
        <v>637</v>
      </c>
      <c r="Y33" s="164">
        <v>22</v>
      </c>
      <c r="Z33" s="164">
        <v>140.13999999999999</v>
      </c>
      <c r="AA33" s="164">
        <v>12.31</v>
      </c>
      <c r="AB33" s="164">
        <v>152.44999999999999</v>
      </c>
      <c r="AC33" s="164">
        <v>27.45</v>
      </c>
      <c r="AD33" s="164">
        <v>0</v>
      </c>
      <c r="AE33" s="164">
        <v>637</v>
      </c>
      <c r="AF33" s="164">
        <v>0</v>
      </c>
      <c r="AG33" s="164">
        <v>0</v>
      </c>
      <c r="AH33" s="164">
        <v>0.64</v>
      </c>
      <c r="AI33" s="164">
        <v>31.85</v>
      </c>
      <c r="AJ33" s="164">
        <v>0</v>
      </c>
      <c r="AK33" s="164">
        <v>59.94</v>
      </c>
      <c r="AL33" s="164">
        <v>0</v>
      </c>
      <c r="AM33" s="164">
        <v>0</v>
      </c>
      <c r="AN33" s="164">
        <v>0</v>
      </c>
      <c r="AO33" s="164">
        <v>0</v>
      </c>
      <c r="AP33" s="164">
        <v>0</v>
      </c>
      <c r="AQ33" s="164">
        <v>0</v>
      </c>
      <c r="AR33" s="164">
        <v>0</v>
      </c>
      <c r="AS33" s="164">
        <v>0</v>
      </c>
      <c r="AT33" s="164">
        <v>0</v>
      </c>
      <c r="AU33" s="164">
        <v>212.39</v>
      </c>
      <c r="AV33" s="164">
        <v>0</v>
      </c>
      <c r="AW33" s="164">
        <v>456.46</v>
      </c>
      <c r="AX33" s="164" t="s">
        <v>224</v>
      </c>
      <c r="AY33" s="164" t="s">
        <v>248</v>
      </c>
      <c r="AZ33" s="164" t="s">
        <v>249</v>
      </c>
      <c r="BA33" s="164">
        <v>0</v>
      </c>
      <c r="BB33" s="164" t="s">
        <v>322</v>
      </c>
    </row>
    <row r="34" spans="1:54">
      <c r="A34" s="164" t="s">
        <v>323</v>
      </c>
      <c r="B34" s="164" t="s">
        <v>324</v>
      </c>
      <c r="C34" s="164" t="s">
        <v>325</v>
      </c>
      <c r="D34" s="164" t="s">
        <v>47</v>
      </c>
      <c r="E34" s="164" t="s">
        <v>218</v>
      </c>
      <c r="F34" s="164" t="s">
        <v>219</v>
      </c>
      <c r="G34" s="164" t="s">
        <v>220</v>
      </c>
      <c r="H34" s="164" t="s">
        <v>221</v>
      </c>
      <c r="I34" s="164" t="s">
        <v>222</v>
      </c>
      <c r="J34" s="164" t="s">
        <v>220</v>
      </c>
      <c r="K34" s="164" t="s">
        <v>220</v>
      </c>
      <c r="L34" s="164" t="s">
        <v>220</v>
      </c>
      <c r="M34" s="164" t="s">
        <v>223</v>
      </c>
      <c r="N34" s="164" t="s">
        <v>93</v>
      </c>
      <c r="O34" s="164">
        <v>788</v>
      </c>
      <c r="P34" s="164">
        <v>0</v>
      </c>
      <c r="Q34" s="164">
        <v>0</v>
      </c>
      <c r="R34" s="164">
        <v>0</v>
      </c>
      <c r="S34" s="164">
        <v>0</v>
      </c>
      <c r="T34" s="164">
        <v>0</v>
      </c>
      <c r="U34" s="164">
        <v>0</v>
      </c>
      <c r="V34" s="164">
        <v>39.4</v>
      </c>
      <c r="W34" s="164">
        <v>827.4</v>
      </c>
      <c r="X34" s="164">
        <v>788</v>
      </c>
      <c r="Y34" s="164">
        <v>22</v>
      </c>
      <c r="Z34" s="164">
        <v>173.36</v>
      </c>
      <c r="AA34" s="164">
        <v>15.22</v>
      </c>
      <c r="AB34" s="164">
        <v>188.58</v>
      </c>
      <c r="AC34" s="164">
        <v>33.94</v>
      </c>
      <c r="AD34" s="164">
        <v>0</v>
      </c>
      <c r="AE34" s="164">
        <v>788</v>
      </c>
      <c r="AF34" s="164">
        <v>0</v>
      </c>
      <c r="AG34" s="164">
        <v>0</v>
      </c>
      <c r="AH34" s="164">
        <v>0.79</v>
      </c>
      <c r="AI34" s="164">
        <v>39.4</v>
      </c>
      <c r="AJ34" s="164">
        <v>0</v>
      </c>
      <c r="AK34" s="164">
        <v>74.13</v>
      </c>
      <c r="AL34" s="164">
        <v>0</v>
      </c>
      <c r="AM34" s="164">
        <v>0</v>
      </c>
      <c r="AN34" s="164">
        <v>0</v>
      </c>
      <c r="AO34" s="164">
        <v>0</v>
      </c>
      <c r="AP34" s="164">
        <v>0</v>
      </c>
      <c r="AQ34" s="164">
        <v>0</v>
      </c>
      <c r="AR34" s="164">
        <v>0</v>
      </c>
      <c r="AS34" s="164">
        <v>0</v>
      </c>
      <c r="AT34" s="164">
        <v>0</v>
      </c>
      <c r="AU34" s="164">
        <v>262.70999999999998</v>
      </c>
      <c r="AV34" s="164">
        <v>0</v>
      </c>
      <c r="AW34" s="164">
        <v>564.69000000000005</v>
      </c>
      <c r="AX34" s="164" t="s">
        <v>224</v>
      </c>
      <c r="AY34" s="164" t="s">
        <v>248</v>
      </c>
      <c r="AZ34" s="164" t="s">
        <v>249</v>
      </c>
      <c r="BA34" s="164">
        <v>0</v>
      </c>
      <c r="BB34" s="164" t="s">
        <v>326</v>
      </c>
    </row>
    <row r="35" spans="1:54">
      <c r="A35" s="164" t="s">
        <v>327</v>
      </c>
      <c r="B35" s="164" t="s">
        <v>328</v>
      </c>
      <c r="C35" s="164" t="s">
        <v>329</v>
      </c>
      <c r="D35" s="164" t="s">
        <v>47</v>
      </c>
      <c r="E35" s="164" t="s">
        <v>218</v>
      </c>
      <c r="F35" s="164" t="s">
        <v>219</v>
      </c>
      <c r="G35" s="164" t="s">
        <v>220</v>
      </c>
      <c r="H35" s="164" t="s">
        <v>221</v>
      </c>
      <c r="I35" s="164" t="s">
        <v>222</v>
      </c>
      <c r="J35" s="164" t="s">
        <v>220</v>
      </c>
      <c r="K35" s="164" t="s">
        <v>220</v>
      </c>
      <c r="L35" s="164" t="s">
        <v>220</v>
      </c>
      <c r="M35" s="164" t="s">
        <v>223</v>
      </c>
      <c r="N35" s="164" t="s">
        <v>93</v>
      </c>
      <c r="O35" s="164">
        <v>229</v>
      </c>
      <c r="P35" s="164">
        <v>0</v>
      </c>
      <c r="Q35" s="164">
        <v>0</v>
      </c>
      <c r="R35" s="164">
        <v>0</v>
      </c>
      <c r="S35" s="164">
        <v>0</v>
      </c>
      <c r="T35" s="164">
        <v>0</v>
      </c>
      <c r="U35" s="164">
        <v>0</v>
      </c>
      <c r="V35" s="164">
        <v>11.45</v>
      </c>
      <c r="W35" s="164">
        <v>240.45</v>
      </c>
      <c r="X35" s="164">
        <v>229</v>
      </c>
      <c r="Y35" s="164">
        <v>22</v>
      </c>
      <c r="Z35" s="164">
        <v>50.38</v>
      </c>
      <c r="AA35" s="164">
        <v>4.42</v>
      </c>
      <c r="AB35" s="164">
        <v>54.8</v>
      </c>
      <c r="AC35" s="164">
        <v>9.8699999999999992</v>
      </c>
      <c r="AD35" s="164">
        <v>0</v>
      </c>
      <c r="AE35" s="164">
        <v>229</v>
      </c>
      <c r="AF35" s="164">
        <v>0</v>
      </c>
      <c r="AG35" s="164">
        <v>0</v>
      </c>
      <c r="AH35" s="164">
        <v>0.23</v>
      </c>
      <c r="AI35" s="164">
        <v>11.45</v>
      </c>
      <c r="AJ35" s="164">
        <v>0</v>
      </c>
      <c r="AK35" s="164">
        <v>21.55</v>
      </c>
      <c r="AL35" s="164">
        <v>0</v>
      </c>
      <c r="AM35" s="164">
        <v>0</v>
      </c>
      <c r="AN35" s="164">
        <v>0</v>
      </c>
      <c r="AO35" s="164">
        <v>0</v>
      </c>
      <c r="AP35" s="164">
        <v>0</v>
      </c>
      <c r="AQ35" s="164">
        <v>0</v>
      </c>
      <c r="AR35" s="164">
        <v>0</v>
      </c>
      <c r="AS35" s="164">
        <v>0</v>
      </c>
      <c r="AT35" s="164">
        <v>0</v>
      </c>
      <c r="AU35" s="164">
        <v>76.349999999999994</v>
      </c>
      <c r="AV35" s="164">
        <v>0</v>
      </c>
      <c r="AW35" s="164">
        <v>164.1</v>
      </c>
      <c r="AX35" s="164" t="s">
        <v>224</v>
      </c>
      <c r="AY35" s="164" t="s">
        <v>248</v>
      </c>
      <c r="AZ35" s="164" t="s">
        <v>249</v>
      </c>
      <c r="BA35" s="164">
        <v>0</v>
      </c>
      <c r="BB35" s="164" t="s">
        <v>330</v>
      </c>
    </row>
    <row r="36" spans="1:54">
      <c r="A36" s="164" t="s">
        <v>331</v>
      </c>
      <c r="B36" s="164" t="s">
        <v>332</v>
      </c>
      <c r="C36" s="164" t="s">
        <v>333</v>
      </c>
      <c r="D36" s="164" t="s">
        <v>47</v>
      </c>
      <c r="E36" s="164" t="s">
        <v>218</v>
      </c>
      <c r="F36" s="164" t="s">
        <v>219</v>
      </c>
      <c r="G36" s="164" t="s">
        <v>220</v>
      </c>
      <c r="H36" s="164" t="s">
        <v>221</v>
      </c>
      <c r="I36" s="164" t="s">
        <v>222</v>
      </c>
      <c r="J36" s="164" t="s">
        <v>220</v>
      </c>
      <c r="K36" s="164" t="s">
        <v>220</v>
      </c>
      <c r="L36" s="164" t="s">
        <v>220</v>
      </c>
      <c r="M36" s="164" t="s">
        <v>223</v>
      </c>
      <c r="N36" s="164" t="s">
        <v>93</v>
      </c>
      <c r="O36" s="164">
        <v>222</v>
      </c>
      <c r="P36" s="164">
        <v>0</v>
      </c>
      <c r="Q36" s="164">
        <v>0</v>
      </c>
      <c r="R36" s="164">
        <v>0</v>
      </c>
      <c r="S36" s="164">
        <v>0</v>
      </c>
      <c r="T36" s="164">
        <v>0</v>
      </c>
      <c r="U36" s="164">
        <v>0</v>
      </c>
      <c r="V36" s="164">
        <v>11.1</v>
      </c>
      <c r="W36" s="164">
        <v>233.1</v>
      </c>
      <c r="X36" s="164">
        <v>222</v>
      </c>
      <c r="Y36" s="164">
        <v>22</v>
      </c>
      <c r="Z36" s="164">
        <v>48.84</v>
      </c>
      <c r="AA36" s="164">
        <v>4.29</v>
      </c>
      <c r="AB36" s="164">
        <v>53.13</v>
      </c>
      <c r="AC36" s="164">
        <v>9.56</v>
      </c>
      <c r="AD36" s="164">
        <v>0</v>
      </c>
      <c r="AE36" s="164">
        <v>222</v>
      </c>
      <c r="AF36" s="164">
        <v>0</v>
      </c>
      <c r="AG36" s="164">
        <v>0</v>
      </c>
      <c r="AH36" s="164">
        <v>0.22</v>
      </c>
      <c r="AI36" s="164">
        <v>11.1</v>
      </c>
      <c r="AJ36" s="164">
        <v>0</v>
      </c>
      <c r="AK36" s="164">
        <v>20.88</v>
      </c>
      <c r="AL36" s="164">
        <v>0</v>
      </c>
      <c r="AM36" s="164">
        <v>0</v>
      </c>
      <c r="AN36" s="164">
        <v>0</v>
      </c>
      <c r="AO36" s="164">
        <v>0</v>
      </c>
      <c r="AP36" s="164">
        <v>0</v>
      </c>
      <c r="AQ36" s="164">
        <v>0</v>
      </c>
      <c r="AR36" s="164">
        <v>0</v>
      </c>
      <c r="AS36" s="164">
        <v>0</v>
      </c>
      <c r="AT36" s="164">
        <v>0</v>
      </c>
      <c r="AU36" s="164">
        <v>74.010000000000005</v>
      </c>
      <c r="AV36" s="164">
        <v>0</v>
      </c>
      <c r="AW36" s="164">
        <v>159.09</v>
      </c>
      <c r="AX36" s="164" t="s">
        <v>224</v>
      </c>
      <c r="AY36" s="164" t="s">
        <v>248</v>
      </c>
      <c r="AZ36" s="164" t="s">
        <v>249</v>
      </c>
      <c r="BA36" s="164">
        <v>0</v>
      </c>
      <c r="BB36" s="164" t="s">
        <v>334</v>
      </c>
    </row>
    <row r="37" spans="1:54">
      <c r="A37" s="164" t="s">
        <v>335</v>
      </c>
      <c r="B37" s="164" t="s">
        <v>336</v>
      </c>
      <c r="C37" s="164" t="s">
        <v>337</v>
      </c>
      <c r="D37" s="164" t="s">
        <v>47</v>
      </c>
      <c r="E37" s="164" t="s">
        <v>218</v>
      </c>
      <c r="F37" s="164" t="s">
        <v>219</v>
      </c>
      <c r="G37" s="164" t="s">
        <v>220</v>
      </c>
      <c r="H37" s="164" t="s">
        <v>221</v>
      </c>
      <c r="I37" s="164" t="s">
        <v>222</v>
      </c>
      <c r="J37" s="164" t="s">
        <v>220</v>
      </c>
      <c r="K37" s="164" t="s">
        <v>220</v>
      </c>
      <c r="L37" s="164" t="s">
        <v>220</v>
      </c>
      <c r="M37" s="164" t="s">
        <v>223</v>
      </c>
      <c r="N37" s="164" t="s">
        <v>93</v>
      </c>
      <c r="O37" s="164">
        <v>273</v>
      </c>
      <c r="P37" s="164">
        <v>0</v>
      </c>
      <c r="Q37" s="164">
        <v>0</v>
      </c>
      <c r="R37" s="164">
        <v>0</v>
      </c>
      <c r="S37" s="164">
        <v>0</v>
      </c>
      <c r="T37" s="164">
        <v>0</v>
      </c>
      <c r="U37" s="164">
        <v>0</v>
      </c>
      <c r="V37" s="164">
        <v>13.65</v>
      </c>
      <c r="W37" s="164">
        <v>286.64999999999998</v>
      </c>
      <c r="X37" s="164">
        <v>273</v>
      </c>
      <c r="Y37" s="164">
        <v>22</v>
      </c>
      <c r="Z37" s="164">
        <v>60.06</v>
      </c>
      <c r="AA37" s="164">
        <v>5.27</v>
      </c>
      <c r="AB37" s="164">
        <v>65.33</v>
      </c>
      <c r="AC37" s="164">
        <v>11.76</v>
      </c>
      <c r="AD37" s="164">
        <v>0</v>
      </c>
      <c r="AE37" s="164">
        <v>273</v>
      </c>
      <c r="AF37" s="164">
        <v>0</v>
      </c>
      <c r="AG37" s="164">
        <v>0</v>
      </c>
      <c r="AH37" s="164">
        <v>0.27</v>
      </c>
      <c r="AI37" s="164">
        <v>13.65</v>
      </c>
      <c r="AJ37" s="164">
        <v>0</v>
      </c>
      <c r="AK37" s="164">
        <v>25.68</v>
      </c>
      <c r="AL37" s="164">
        <v>0</v>
      </c>
      <c r="AM37" s="164">
        <v>0</v>
      </c>
      <c r="AN37" s="164">
        <v>0</v>
      </c>
      <c r="AO37" s="164">
        <v>0</v>
      </c>
      <c r="AP37" s="164">
        <v>0</v>
      </c>
      <c r="AQ37" s="164">
        <v>0</v>
      </c>
      <c r="AR37" s="164">
        <v>0</v>
      </c>
      <c r="AS37" s="164">
        <v>0</v>
      </c>
      <c r="AT37" s="164">
        <v>0</v>
      </c>
      <c r="AU37" s="164">
        <v>91.01</v>
      </c>
      <c r="AV37" s="164">
        <v>0</v>
      </c>
      <c r="AW37" s="164">
        <v>195.64</v>
      </c>
      <c r="AX37" s="164" t="s">
        <v>224</v>
      </c>
      <c r="AY37" s="164" t="s">
        <v>248</v>
      </c>
      <c r="AZ37" s="164" t="s">
        <v>249</v>
      </c>
      <c r="BA37" s="164">
        <v>0</v>
      </c>
      <c r="BB37" s="164" t="s">
        <v>338</v>
      </c>
    </row>
    <row r="38" spans="1:54">
      <c r="A38" s="164" t="s">
        <v>339</v>
      </c>
      <c r="B38" s="164" t="s">
        <v>340</v>
      </c>
      <c r="C38" s="164" t="s">
        <v>341</v>
      </c>
      <c r="D38" s="164" t="s">
        <v>47</v>
      </c>
      <c r="E38" s="164" t="s">
        <v>218</v>
      </c>
      <c r="F38" s="164" t="s">
        <v>219</v>
      </c>
      <c r="G38" s="164" t="s">
        <v>220</v>
      </c>
      <c r="H38" s="164" t="s">
        <v>221</v>
      </c>
      <c r="I38" s="164" t="s">
        <v>222</v>
      </c>
      <c r="J38" s="164" t="s">
        <v>220</v>
      </c>
      <c r="K38" s="164" t="s">
        <v>220</v>
      </c>
      <c r="L38" s="164" t="s">
        <v>220</v>
      </c>
      <c r="M38" s="164" t="s">
        <v>223</v>
      </c>
      <c r="N38" s="164" t="s">
        <v>93</v>
      </c>
      <c r="O38" s="164">
        <v>960</v>
      </c>
      <c r="P38" s="164">
        <v>0</v>
      </c>
      <c r="Q38" s="164">
        <v>0</v>
      </c>
      <c r="R38" s="164">
        <v>0</v>
      </c>
      <c r="S38" s="164">
        <v>0</v>
      </c>
      <c r="T38" s="164">
        <v>0</v>
      </c>
      <c r="U38" s="164">
        <v>0</v>
      </c>
      <c r="V38" s="164">
        <v>48</v>
      </c>
      <c r="W38" s="164">
        <v>1008</v>
      </c>
      <c r="X38" s="164">
        <v>960</v>
      </c>
      <c r="Y38" s="164">
        <v>22</v>
      </c>
      <c r="Z38" s="164">
        <v>211.2</v>
      </c>
      <c r="AA38" s="164">
        <v>18.55</v>
      </c>
      <c r="AB38" s="164">
        <v>229.75</v>
      </c>
      <c r="AC38" s="164">
        <v>41.36</v>
      </c>
      <c r="AD38" s="164">
        <v>0</v>
      </c>
      <c r="AE38" s="164">
        <v>960</v>
      </c>
      <c r="AF38" s="164">
        <v>0</v>
      </c>
      <c r="AG38" s="164">
        <v>0</v>
      </c>
      <c r="AH38" s="164">
        <v>0.96</v>
      </c>
      <c r="AI38" s="164">
        <v>48</v>
      </c>
      <c r="AJ38" s="164">
        <v>0</v>
      </c>
      <c r="AK38" s="164">
        <v>90.32</v>
      </c>
      <c r="AL38" s="164">
        <v>0</v>
      </c>
      <c r="AM38" s="164">
        <v>0</v>
      </c>
      <c r="AN38" s="164">
        <v>0</v>
      </c>
      <c r="AO38" s="164">
        <v>0</v>
      </c>
      <c r="AP38" s="164">
        <v>0</v>
      </c>
      <c r="AQ38" s="164">
        <v>0</v>
      </c>
      <c r="AR38" s="164">
        <v>0</v>
      </c>
      <c r="AS38" s="164">
        <v>0</v>
      </c>
      <c r="AT38" s="164">
        <v>0</v>
      </c>
      <c r="AU38" s="164">
        <v>320.07</v>
      </c>
      <c r="AV38" s="164">
        <v>0</v>
      </c>
      <c r="AW38" s="164">
        <v>687.93</v>
      </c>
      <c r="AX38" s="164" t="s">
        <v>224</v>
      </c>
      <c r="AY38" s="164" t="s">
        <v>248</v>
      </c>
      <c r="AZ38" s="164" t="s">
        <v>249</v>
      </c>
      <c r="BA38" s="164">
        <v>0</v>
      </c>
      <c r="BB38" s="164" t="s">
        <v>342</v>
      </c>
    </row>
    <row r="39" spans="1:54">
      <c r="A39" s="164" t="s">
        <v>343</v>
      </c>
      <c r="B39" s="164" t="s">
        <v>344</v>
      </c>
      <c r="C39" s="164" t="s">
        <v>345</v>
      </c>
      <c r="D39" s="164" t="s">
        <v>47</v>
      </c>
      <c r="E39" s="164" t="s">
        <v>218</v>
      </c>
      <c r="F39" s="164" t="s">
        <v>219</v>
      </c>
      <c r="G39" s="164" t="s">
        <v>220</v>
      </c>
      <c r="H39" s="164" t="s">
        <v>221</v>
      </c>
      <c r="I39" s="164" t="s">
        <v>222</v>
      </c>
      <c r="J39" s="164" t="s">
        <v>220</v>
      </c>
      <c r="K39" s="164" t="s">
        <v>220</v>
      </c>
      <c r="L39" s="164" t="s">
        <v>220</v>
      </c>
      <c r="M39" s="164" t="s">
        <v>223</v>
      </c>
      <c r="N39" s="164" t="s">
        <v>93</v>
      </c>
      <c r="O39" s="164">
        <v>141</v>
      </c>
      <c r="P39" s="164">
        <v>0</v>
      </c>
      <c r="Q39" s="164">
        <v>0</v>
      </c>
      <c r="R39" s="164">
        <v>0</v>
      </c>
      <c r="S39" s="164">
        <v>0</v>
      </c>
      <c r="T39" s="164">
        <v>0</v>
      </c>
      <c r="U39" s="164">
        <v>0</v>
      </c>
      <c r="V39" s="164">
        <v>7.05</v>
      </c>
      <c r="W39" s="164">
        <v>148.05000000000001</v>
      </c>
      <c r="X39" s="164">
        <v>141</v>
      </c>
      <c r="Y39" s="164">
        <v>22</v>
      </c>
      <c r="Z39" s="164">
        <v>31.02</v>
      </c>
      <c r="AA39" s="164">
        <v>2.72</v>
      </c>
      <c r="AB39" s="164">
        <v>33.74</v>
      </c>
      <c r="AC39" s="164">
        <v>6.07</v>
      </c>
      <c r="AD39" s="164">
        <v>0</v>
      </c>
      <c r="AE39" s="164">
        <v>141</v>
      </c>
      <c r="AF39" s="164">
        <v>0</v>
      </c>
      <c r="AG39" s="164">
        <v>0</v>
      </c>
      <c r="AH39" s="164">
        <v>0.14000000000000001</v>
      </c>
      <c r="AI39" s="164">
        <v>7.05</v>
      </c>
      <c r="AJ39" s="164">
        <v>0</v>
      </c>
      <c r="AK39" s="164">
        <v>13.26</v>
      </c>
      <c r="AL39" s="164">
        <v>0</v>
      </c>
      <c r="AM39" s="164">
        <v>0</v>
      </c>
      <c r="AN39" s="164">
        <v>0</v>
      </c>
      <c r="AO39" s="164">
        <v>0</v>
      </c>
      <c r="AP39" s="164">
        <v>0</v>
      </c>
      <c r="AQ39" s="164">
        <v>0</v>
      </c>
      <c r="AR39" s="164">
        <v>0</v>
      </c>
      <c r="AS39" s="164">
        <v>0</v>
      </c>
      <c r="AT39" s="164">
        <v>0</v>
      </c>
      <c r="AU39" s="164">
        <v>47</v>
      </c>
      <c r="AV39" s="164">
        <v>0</v>
      </c>
      <c r="AW39" s="164">
        <v>101.05</v>
      </c>
      <c r="AX39" s="164" t="s">
        <v>224</v>
      </c>
      <c r="AY39" s="164" t="s">
        <v>248</v>
      </c>
      <c r="AZ39" s="164" t="s">
        <v>249</v>
      </c>
      <c r="BA39" s="164">
        <v>0</v>
      </c>
      <c r="BB39" s="164" t="s">
        <v>346</v>
      </c>
    </row>
    <row r="40" spans="1:54">
      <c r="A40" s="164" t="s">
        <v>347</v>
      </c>
      <c r="B40" s="164" t="s">
        <v>348</v>
      </c>
      <c r="C40" s="164" t="s">
        <v>349</v>
      </c>
      <c r="D40" s="164" t="s">
        <v>47</v>
      </c>
      <c r="E40" s="164" t="s">
        <v>218</v>
      </c>
      <c r="F40" s="164" t="s">
        <v>219</v>
      </c>
      <c r="G40" s="164" t="s">
        <v>220</v>
      </c>
      <c r="H40" s="164" t="s">
        <v>221</v>
      </c>
      <c r="I40" s="164" t="s">
        <v>222</v>
      </c>
      <c r="J40" s="164" t="s">
        <v>220</v>
      </c>
      <c r="K40" s="164" t="s">
        <v>220</v>
      </c>
      <c r="L40" s="164" t="s">
        <v>220</v>
      </c>
      <c r="M40" s="164" t="s">
        <v>223</v>
      </c>
      <c r="N40" s="164" t="s">
        <v>93</v>
      </c>
      <c r="O40" s="164">
        <v>435</v>
      </c>
      <c r="P40" s="164">
        <v>0</v>
      </c>
      <c r="Q40" s="164">
        <v>0</v>
      </c>
      <c r="R40" s="164">
        <v>0</v>
      </c>
      <c r="S40" s="164">
        <v>0</v>
      </c>
      <c r="T40" s="164">
        <v>0</v>
      </c>
      <c r="U40" s="164">
        <v>0</v>
      </c>
      <c r="V40" s="164">
        <v>21.75</v>
      </c>
      <c r="W40" s="164">
        <v>456.75</v>
      </c>
      <c r="X40" s="164">
        <v>435</v>
      </c>
      <c r="Y40" s="164">
        <v>22</v>
      </c>
      <c r="Z40" s="164">
        <v>95.7</v>
      </c>
      <c r="AA40" s="164">
        <v>8.4</v>
      </c>
      <c r="AB40" s="164">
        <v>104.1</v>
      </c>
      <c r="AC40" s="164">
        <v>18.739999999999998</v>
      </c>
      <c r="AD40" s="164">
        <v>0</v>
      </c>
      <c r="AE40" s="164">
        <v>435</v>
      </c>
      <c r="AF40" s="164">
        <v>0</v>
      </c>
      <c r="AG40" s="164">
        <v>0</v>
      </c>
      <c r="AH40" s="164">
        <v>0.44</v>
      </c>
      <c r="AI40" s="164">
        <v>21.75</v>
      </c>
      <c r="AJ40" s="164">
        <v>0</v>
      </c>
      <c r="AK40" s="164">
        <v>40.93</v>
      </c>
      <c r="AL40" s="164">
        <v>0</v>
      </c>
      <c r="AM40" s="164">
        <v>0</v>
      </c>
      <c r="AN40" s="164">
        <v>0</v>
      </c>
      <c r="AO40" s="164">
        <v>0</v>
      </c>
      <c r="AP40" s="164">
        <v>0</v>
      </c>
      <c r="AQ40" s="164">
        <v>0</v>
      </c>
      <c r="AR40" s="164">
        <v>0</v>
      </c>
      <c r="AS40" s="164">
        <v>0</v>
      </c>
      <c r="AT40" s="164">
        <v>0</v>
      </c>
      <c r="AU40" s="164">
        <v>145.03</v>
      </c>
      <c r="AV40" s="164">
        <v>0</v>
      </c>
      <c r="AW40" s="164">
        <v>311.72000000000003</v>
      </c>
      <c r="AX40" s="164" t="s">
        <v>224</v>
      </c>
      <c r="AY40" s="164" t="s">
        <v>248</v>
      </c>
      <c r="AZ40" s="164" t="s">
        <v>249</v>
      </c>
      <c r="BA40" s="164">
        <v>0</v>
      </c>
      <c r="BB40" s="164" t="s">
        <v>350</v>
      </c>
    </row>
    <row r="41" spans="1:54">
      <c r="A41" s="164" t="s">
        <v>351</v>
      </c>
      <c r="B41" s="164" t="s">
        <v>352</v>
      </c>
      <c r="C41" s="164" t="s">
        <v>353</v>
      </c>
      <c r="D41" s="164" t="s">
        <v>47</v>
      </c>
      <c r="E41" s="164" t="s">
        <v>218</v>
      </c>
      <c r="F41" s="164" t="s">
        <v>219</v>
      </c>
      <c r="G41" s="164" t="s">
        <v>220</v>
      </c>
      <c r="H41" s="164" t="s">
        <v>221</v>
      </c>
      <c r="I41" s="164" t="s">
        <v>222</v>
      </c>
      <c r="J41" s="164" t="s">
        <v>220</v>
      </c>
      <c r="K41" s="164" t="s">
        <v>220</v>
      </c>
      <c r="L41" s="164" t="s">
        <v>220</v>
      </c>
      <c r="M41" s="164" t="s">
        <v>223</v>
      </c>
      <c r="N41" s="164" t="s">
        <v>93</v>
      </c>
      <c r="O41" s="164">
        <v>229</v>
      </c>
      <c r="P41" s="164">
        <v>0</v>
      </c>
      <c r="Q41" s="164">
        <v>0</v>
      </c>
      <c r="R41" s="164">
        <v>0</v>
      </c>
      <c r="S41" s="164">
        <v>0</v>
      </c>
      <c r="T41" s="164">
        <v>0</v>
      </c>
      <c r="U41" s="164">
        <v>0</v>
      </c>
      <c r="V41" s="164">
        <v>11.45</v>
      </c>
      <c r="W41" s="164">
        <v>240.45</v>
      </c>
      <c r="X41" s="164">
        <v>229</v>
      </c>
      <c r="Y41" s="164">
        <v>22</v>
      </c>
      <c r="Z41" s="164">
        <v>50.38</v>
      </c>
      <c r="AA41" s="164">
        <v>4.42</v>
      </c>
      <c r="AB41" s="164">
        <v>54.8</v>
      </c>
      <c r="AC41" s="164">
        <v>9.8699999999999992</v>
      </c>
      <c r="AD41" s="164">
        <v>0</v>
      </c>
      <c r="AE41" s="164">
        <v>229</v>
      </c>
      <c r="AF41" s="164">
        <v>0</v>
      </c>
      <c r="AG41" s="164">
        <v>0</v>
      </c>
      <c r="AH41" s="164">
        <v>0.23</v>
      </c>
      <c r="AI41" s="164">
        <v>11.45</v>
      </c>
      <c r="AJ41" s="164">
        <v>0</v>
      </c>
      <c r="AK41" s="164">
        <v>21.55</v>
      </c>
      <c r="AL41" s="164">
        <v>0</v>
      </c>
      <c r="AM41" s="164">
        <v>0</v>
      </c>
      <c r="AN41" s="164">
        <v>0</v>
      </c>
      <c r="AO41" s="164">
        <v>0</v>
      </c>
      <c r="AP41" s="164">
        <v>0</v>
      </c>
      <c r="AQ41" s="164">
        <v>0</v>
      </c>
      <c r="AR41" s="164">
        <v>0</v>
      </c>
      <c r="AS41" s="164">
        <v>0</v>
      </c>
      <c r="AT41" s="164">
        <v>0</v>
      </c>
      <c r="AU41" s="164">
        <v>76.349999999999994</v>
      </c>
      <c r="AV41" s="164">
        <v>0</v>
      </c>
      <c r="AW41" s="164">
        <v>164.1</v>
      </c>
      <c r="AX41" s="164" t="s">
        <v>224</v>
      </c>
      <c r="AY41" s="164" t="s">
        <v>248</v>
      </c>
      <c r="AZ41" s="164" t="s">
        <v>249</v>
      </c>
      <c r="BA41" s="164">
        <v>0</v>
      </c>
      <c r="BB41" s="164" t="s">
        <v>354</v>
      </c>
    </row>
    <row r="42" spans="1:54">
      <c r="A42" s="164" t="s">
        <v>355</v>
      </c>
      <c r="B42" s="164" t="s">
        <v>356</v>
      </c>
      <c r="C42" s="164" t="s">
        <v>357</v>
      </c>
      <c r="D42" s="164" t="s">
        <v>47</v>
      </c>
      <c r="E42" s="164" t="s">
        <v>218</v>
      </c>
      <c r="F42" s="164" t="s">
        <v>219</v>
      </c>
      <c r="G42" s="164" t="s">
        <v>220</v>
      </c>
      <c r="H42" s="164" t="s">
        <v>221</v>
      </c>
      <c r="I42" s="164" t="s">
        <v>222</v>
      </c>
      <c r="J42" s="164" t="s">
        <v>220</v>
      </c>
      <c r="K42" s="164" t="s">
        <v>220</v>
      </c>
      <c r="L42" s="164" t="s">
        <v>220</v>
      </c>
      <c r="M42" s="164" t="s">
        <v>223</v>
      </c>
      <c r="N42" s="164" t="s">
        <v>93</v>
      </c>
      <c r="O42" s="164">
        <v>196</v>
      </c>
      <c r="P42" s="164">
        <v>0</v>
      </c>
      <c r="Q42" s="164">
        <v>0</v>
      </c>
      <c r="R42" s="164">
        <v>0</v>
      </c>
      <c r="S42" s="164">
        <v>0</v>
      </c>
      <c r="T42" s="164">
        <v>0</v>
      </c>
      <c r="U42" s="164">
        <v>0</v>
      </c>
      <c r="V42" s="164">
        <v>9.8000000000000007</v>
      </c>
      <c r="W42" s="164">
        <v>205.8</v>
      </c>
      <c r="X42" s="164">
        <v>196</v>
      </c>
      <c r="Y42" s="164">
        <v>22</v>
      </c>
      <c r="Z42" s="164">
        <v>43.12</v>
      </c>
      <c r="AA42" s="164">
        <v>3.79</v>
      </c>
      <c r="AB42" s="164">
        <v>46.91</v>
      </c>
      <c r="AC42" s="164">
        <v>8.44</v>
      </c>
      <c r="AD42" s="164">
        <v>0</v>
      </c>
      <c r="AE42" s="164">
        <v>196</v>
      </c>
      <c r="AF42" s="164">
        <v>0</v>
      </c>
      <c r="AG42" s="164">
        <v>0</v>
      </c>
      <c r="AH42" s="164">
        <v>0.2</v>
      </c>
      <c r="AI42" s="164">
        <v>9.8000000000000007</v>
      </c>
      <c r="AJ42" s="164">
        <v>0</v>
      </c>
      <c r="AK42" s="164">
        <v>18.440000000000001</v>
      </c>
      <c r="AL42" s="164">
        <v>0</v>
      </c>
      <c r="AM42" s="164">
        <v>0</v>
      </c>
      <c r="AN42" s="164">
        <v>0</v>
      </c>
      <c r="AO42" s="164">
        <v>0</v>
      </c>
      <c r="AP42" s="164">
        <v>0</v>
      </c>
      <c r="AQ42" s="164">
        <v>0</v>
      </c>
      <c r="AR42" s="164">
        <v>0</v>
      </c>
      <c r="AS42" s="164">
        <v>0</v>
      </c>
      <c r="AT42" s="164">
        <v>0</v>
      </c>
      <c r="AU42" s="164">
        <v>65.349999999999994</v>
      </c>
      <c r="AV42" s="164">
        <v>0</v>
      </c>
      <c r="AW42" s="164">
        <v>140.44999999999999</v>
      </c>
      <c r="AX42" s="164" t="s">
        <v>224</v>
      </c>
      <c r="AY42" s="164" t="s">
        <v>248</v>
      </c>
      <c r="AZ42" s="164" t="s">
        <v>249</v>
      </c>
      <c r="BA42" s="164">
        <v>0</v>
      </c>
      <c r="BB42" s="164" t="s">
        <v>358</v>
      </c>
    </row>
    <row r="43" spans="1:54">
      <c r="A43" s="164" t="s">
        <v>359</v>
      </c>
      <c r="B43" s="164" t="s">
        <v>360</v>
      </c>
      <c r="C43" s="164" t="s">
        <v>361</v>
      </c>
      <c r="D43" s="164" t="s">
        <v>47</v>
      </c>
      <c r="E43" s="164" t="s">
        <v>218</v>
      </c>
      <c r="F43" s="164" t="s">
        <v>219</v>
      </c>
      <c r="G43" s="164" t="s">
        <v>220</v>
      </c>
      <c r="H43" s="164" t="s">
        <v>221</v>
      </c>
      <c r="I43" s="164" t="s">
        <v>222</v>
      </c>
      <c r="J43" s="164" t="s">
        <v>220</v>
      </c>
      <c r="K43" s="164" t="s">
        <v>220</v>
      </c>
      <c r="L43" s="164" t="s">
        <v>220</v>
      </c>
      <c r="M43" s="164" t="s">
        <v>223</v>
      </c>
      <c r="N43" s="164" t="s">
        <v>93</v>
      </c>
      <c r="O43" s="164">
        <v>695</v>
      </c>
      <c r="P43" s="164">
        <v>0</v>
      </c>
      <c r="Q43" s="164">
        <v>0</v>
      </c>
      <c r="R43" s="164">
        <v>0</v>
      </c>
      <c r="S43" s="164">
        <v>0</v>
      </c>
      <c r="T43" s="164">
        <v>0</v>
      </c>
      <c r="U43" s="164">
        <v>0</v>
      </c>
      <c r="V43" s="164">
        <v>34.75</v>
      </c>
      <c r="W43" s="164">
        <v>729.75</v>
      </c>
      <c r="X43" s="164">
        <v>695</v>
      </c>
      <c r="Y43" s="164">
        <v>22</v>
      </c>
      <c r="Z43" s="164">
        <v>152.9</v>
      </c>
      <c r="AA43" s="164">
        <v>13.43</v>
      </c>
      <c r="AB43" s="164">
        <v>166.33</v>
      </c>
      <c r="AC43" s="164">
        <v>29.94</v>
      </c>
      <c r="AD43" s="164">
        <v>0</v>
      </c>
      <c r="AE43" s="164">
        <v>695</v>
      </c>
      <c r="AF43" s="164">
        <v>0</v>
      </c>
      <c r="AG43" s="164">
        <v>0</v>
      </c>
      <c r="AH43" s="164">
        <v>0.7</v>
      </c>
      <c r="AI43" s="164">
        <v>34.75</v>
      </c>
      <c r="AJ43" s="164">
        <v>0</v>
      </c>
      <c r="AK43" s="164">
        <v>65.39</v>
      </c>
      <c r="AL43" s="164">
        <v>0</v>
      </c>
      <c r="AM43" s="164">
        <v>0</v>
      </c>
      <c r="AN43" s="164">
        <v>0</v>
      </c>
      <c r="AO43" s="164">
        <v>0</v>
      </c>
      <c r="AP43" s="164">
        <v>0</v>
      </c>
      <c r="AQ43" s="164">
        <v>0</v>
      </c>
      <c r="AR43" s="164">
        <v>0</v>
      </c>
      <c r="AS43" s="164">
        <v>0</v>
      </c>
      <c r="AT43" s="164">
        <v>0</v>
      </c>
      <c r="AU43" s="164">
        <v>231.72</v>
      </c>
      <c r="AV43" s="164">
        <v>0</v>
      </c>
      <c r="AW43" s="164">
        <v>498.03</v>
      </c>
      <c r="AX43" s="164" t="s">
        <v>224</v>
      </c>
      <c r="AY43" s="164" t="s">
        <v>248</v>
      </c>
      <c r="AZ43" s="164" t="s">
        <v>249</v>
      </c>
      <c r="BA43" s="164">
        <v>0</v>
      </c>
      <c r="BB43" s="164" t="s">
        <v>292</v>
      </c>
    </row>
    <row r="44" spans="1:54">
      <c r="A44" s="164" t="s">
        <v>362</v>
      </c>
      <c r="B44" s="164" t="s">
        <v>363</v>
      </c>
      <c r="C44" s="164" t="s">
        <v>364</v>
      </c>
      <c r="D44" s="164" t="s">
        <v>47</v>
      </c>
      <c r="E44" s="164" t="s">
        <v>218</v>
      </c>
      <c r="F44" s="164" t="s">
        <v>219</v>
      </c>
      <c r="G44" s="164" t="s">
        <v>220</v>
      </c>
      <c r="H44" s="164" t="s">
        <v>221</v>
      </c>
      <c r="I44" s="164" t="s">
        <v>222</v>
      </c>
      <c r="J44" s="164" t="s">
        <v>220</v>
      </c>
      <c r="K44" s="164" t="s">
        <v>220</v>
      </c>
      <c r="L44" s="164" t="s">
        <v>220</v>
      </c>
      <c r="M44" s="164" t="s">
        <v>223</v>
      </c>
      <c r="N44" s="164" t="s">
        <v>93</v>
      </c>
      <c r="O44" s="164">
        <v>284</v>
      </c>
      <c r="P44" s="164">
        <v>0</v>
      </c>
      <c r="Q44" s="164">
        <v>0</v>
      </c>
      <c r="R44" s="164">
        <v>0</v>
      </c>
      <c r="S44" s="164">
        <v>0</v>
      </c>
      <c r="T44" s="164">
        <v>0</v>
      </c>
      <c r="U44" s="164">
        <v>0</v>
      </c>
      <c r="V44" s="164">
        <v>14.2</v>
      </c>
      <c r="W44" s="164">
        <v>298.2</v>
      </c>
      <c r="X44" s="164">
        <v>284</v>
      </c>
      <c r="Y44" s="164">
        <v>22</v>
      </c>
      <c r="Z44" s="164">
        <v>62.48</v>
      </c>
      <c r="AA44" s="164">
        <v>5.49</v>
      </c>
      <c r="AB44" s="164">
        <v>67.97</v>
      </c>
      <c r="AC44" s="164">
        <v>12.24</v>
      </c>
      <c r="AD44" s="164">
        <v>0</v>
      </c>
      <c r="AE44" s="164">
        <v>284</v>
      </c>
      <c r="AF44" s="164">
        <v>0</v>
      </c>
      <c r="AG44" s="164">
        <v>0</v>
      </c>
      <c r="AH44" s="164">
        <v>0.28000000000000003</v>
      </c>
      <c r="AI44" s="164">
        <v>14.2</v>
      </c>
      <c r="AJ44" s="164">
        <v>0</v>
      </c>
      <c r="AK44" s="164">
        <v>26.72</v>
      </c>
      <c r="AL44" s="164">
        <v>0</v>
      </c>
      <c r="AM44" s="164">
        <v>0</v>
      </c>
      <c r="AN44" s="164">
        <v>0</v>
      </c>
      <c r="AO44" s="164">
        <v>0</v>
      </c>
      <c r="AP44" s="164">
        <v>0</v>
      </c>
      <c r="AQ44" s="164">
        <v>0</v>
      </c>
      <c r="AR44" s="164">
        <v>0</v>
      </c>
      <c r="AS44" s="164">
        <v>0</v>
      </c>
      <c r="AT44" s="164">
        <v>0</v>
      </c>
      <c r="AU44" s="164">
        <v>94.69</v>
      </c>
      <c r="AV44" s="164">
        <v>0</v>
      </c>
      <c r="AW44" s="164">
        <v>203.51</v>
      </c>
      <c r="AX44" s="164" t="s">
        <v>224</v>
      </c>
      <c r="AY44" s="164" t="s">
        <v>248</v>
      </c>
      <c r="AZ44" s="164" t="s">
        <v>249</v>
      </c>
      <c r="BA44" s="164">
        <v>0</v>
      </c>
      <c r="BB44" s="164" t="s">
        <v>365</v>
      </c>
    </row>
    <row r="45" spans="1:54">
      <c r="A45" s="164" t="s">
        <v>366</v>
      </c>
      <c r="B45" s="164" t="s">
        <v>367</v>
      </c>
      <c r="C45" s="164" t="s">
        <v>368</v>
      </c>
      <c r="D45" s="164" t="s">
        <v>47</v>
      </c>
      <c r="E45" s="164" t="s">
        <v>218</v>
      </c>
      <c r="F45" s="164" t="s">
        <v>219</v>
      </c>
      <c r="G45" s="164" t="s">
        <v>220</v>
      </c>
      <c r="H45" s="164" t="s">
        <v>221</v>
      </c>
      <c r="I45" s="164" t="s">
        <v>222</v>
      </c>
      <c r="J45" s="164" t="s">
        <v>220</v>
      </c>
      <c r="K45" s="164" t="s">
        <v>220</v>
      </c>
      <c r="L45" s="164" t="s">
        <v>220</v>
      </c>
      <c r="M45" s="164" t="s">
        <v>223</v>
      </c>
      <c r="N45" s="164" t="s">
        <v>93</v>
      </c>
      <c r="O45" s="164">
        <v>423</v>
      </c>
      <c r="P45" s="164">
        <v>0</v>
      </c>
      <c r="Q45" s="164">
        <v>0</v>
      </c>
      <c r="R45" s="164">
        <v>0</v>
      </c>
      <c r="S45" s="164">
        <v>0</v>
      </c>
      <c r="T45" s="164">
        <v>0</v>
      </c>
      <c r="U45" s="164">
        <v>0</v>
      </c>
      <c r="V45" s="164">
        <v>21.15</v>
      </c>
      <c r="W45" s="164">
        <v>444.15</v>
      </c>
      <c r="X45" s="164">
        <v>423</v>
      </c>
      <c r="Y45" s="164">
        <v>22</v>
      </c>
      <c r="Z45" s="164">
        <v>93.06</v>
      </c>
      <c r="AA45" s="164">
        <v>8.17</v>
      </c>
      <c r="AB45" s="164">
        <v>101.23</v>
      </c>
      <c r="AC45" s="164">
        <v>18.22</v>
      </c>
      <c r="AD45" s="164">
        <v>0</v>
      </c>
      <c r="AE45" s="164">
        <v>423</v>
      </c>
      <c r="AF45" s="164">
        <v>0</v>
      </c>
      <c r="AG45" s="164">
        <v>0</v>
      </c>
      <c r="AH45" s="164">
        <v>0.42</v>
      </c>
      <c r="AI45" s="164">
        <v>21.15</v>
      </c>
      <c r="AJ45" s="164">
        <v>0</v>
      </c>
      <c r="AK45" s="164">
        <v>39.79</v>
      </c>
      <c r="AL45" s="164">
        <v>0</v>
      </c>
      <c r="AM45" s="164">
        <v>0</v>
      </c>
      <c r="AN45" s="164">
        <v>0</v>
      </c>
      <c r="AO45" s="164">
        <v>0</v>
      </c>
      <c r="AP45" s="164">
        <v>0</v>
      </c>
      <c r="AQ45" s="164">
        <v>0</v>
      </c>
      <c r="AR45" s="164">
        <v>0</v>
      </c>
      <c r="AS45" s="164">
        <v>0</v>
      </c>
      <c r="AT45" s="164">
        <v>0</v>
      </c>
      <c r="AU45" s="164">
        <v>141.02000000000001</v>
      </c>
      <c r="AV45" s="164">
        <v>0</v>
      </c>
      <c r="AW45" s="164">
        <v>303.13</v>
      </c>
      <c r="AX45" s="164" t="s">
        <v>224</v>
      </c>
      <c r="AY45" s="164" t="s">
        <v>248</v>
      </c>
      <c r="AZ45" s="164" t="s">
        <v>249</v>
      </c>
      <c r="BA45" s="164">
        <v>0</v>
      </c>
      <c r="BB45" s="164" t="s">
        <v>346</v>
      </c>
    </row>
    <row r="46" spans="1:54">
      <c r="A46" s="164" t="s">
        <v>369</v>
      </c>
      <c r="B46" s="164" t="s">
        <v>370</v>
      </c>
      <c r="C46" s="164" t="s">
        <v>371</v>
      </c>
      <c r="D46" s="164" t="s">
        <v>47</v>
      </c>
      <c r="E46" s="164" t="s">
        <v>218</v>
      </c>
      <c r="F46" s="164" t="s">
        <v>219</v>
      </c>
      <c r="G46" s="164" t="s">
        <v>220</v>
      </c>
      <c r="H46" s="164" t="s">
        <v>221</v>
      </c>
      <c r="I46" s="164" t="s">
        <v>222</v>
      </c>
      <c r="J46" s="164" t="s">
        <v>220</v>
      </c>
      <c r="K46" s="164" t="s">
        <v>220</v>
      </c>
      <c r="L46" s="164" t="s">
        <v>220</v>
      </c>
      <c r="M46" s="164" t="s">
        <v>223</v>
      </c>
      <c r="N46" s="164" t="s">
        <v>93</v>
      </c>
      <c r="O46" s="164">
        <v>797</v>
      </c>
      <c r="P46" s="164">
        <v>0</v>
      </c>
      <c r="Q46" s="164">
        <v>0</v>
      </c>
      <c r="R46" s="164">
        <v>0</v>
      </c>
      <c r="S46" s="164">
        <v>0</v>
      </c>
      <c r="T46" s="164">
        <v>0</v>
      </c>
      <c r="U46" s="164">
        <v>0</v>
      </c>
      <c r="V46" s="164">
        <v>39.85</v>
      </c>
      <c r="W46" s="164">
        <v>836.85</v>
      </c>
      <c r="X46" s="164">
        <v>797</v>
      </c>
      <c r="Y46" s="164">
        <v>22</v>
      </c>
      <c r="Z46" s="164">
        <v>175.34</v>
      </c>
      <c r="AA46" s="164">
        <v>15.4</v>
      </c>
      <c r="AB46" s="164">
        <v>190.74</v>
      </c>
      <c r="AC46" s="164">
        <v>34.33</v>
      </c>
      <c r="AD46" s="164">
        <v>0</v>
      </c>
      <c r="AE46" s="164">
        <v>797</v>
      </c>
      <c r="AF46" s="164">
        <v>0</v>
      </c>
      <c r="AG46" s="164">
        <v>0</v>
      </c>
      <c r="AH46" s="164">
        <v>0.8</v>
      </c>
      <c r="AI46" s="164">
        <v>39.85</v>
      </c>
      <c r="AJ46" s="164">
        <v>0</v>
      </c>
      <c r="AK46" s="164">
        <v>74.98</v>
      </c>
      <c r="AL46" s="164">
        <v>0</v>
      </c>
      <c r="AM46" s="164">
        <v>0</v>
      </c>
      <c r="AN46" s="164">
        <v>0</v>
      </c>
      <c r="AO46" s="164">
        <v>0</v>
      </c>
      <c r="AP46" s="164">
        <v>0</v>
      </c>
      <c r="AQ46" s="164">
        <v>0</v>
      </c>
      <c r="AR46" s="164">
        <v>0</v>
      </c>
      <c r="AS46" s="164">
        <v>0</v>
      </c>
      <c r="AT46" s="164">
        <v>0</v>
      </c>
      <c r="AU46" s="164">
        <v>265.72000000000003</v>
      </c>
      <c r="AV46" s="164">
        <v>0</v>
      </c>
      <c r="AW46" s="164">
        <v>571.13</v>
      </c>
      <c r="AX46" s="164" t="s">
        <v>224</v>
      </c>
      <c r="AY46" s="164" t="s">
        <v>248</v>
      </c>
      <c r="AZ46" s="164" t="s">
        <v>249</v>
      </c>
      <c r="BA46" s="164">
        <v>0</v>
      </c>
      <c r="BB46" s="164" t="s">
        <v>372</v>
      </c>
    </row>
    <row r="47" spans="1:54">
      <c r="A47" s="164" t="s">
        <v>373</v>
      </c>
      <c r="B47" s="164" t="s">
        <v>374</v>
      </c>
      <c r="C47" s="164" t="s">
        <v>375</v>
      </c>
      <c r="D47" s="164" t="s">
        <v>47</v>
      </c>
      <c r="E47" s="164" t="s">
        <v>218</v>
      </c>
      <c r="F47" s="164" t="s">
        <v>219</v>
      </c>
      <c r="G47" s="164" t="s">
        <v>220</v>
      </c>
      <c r="H47" s="164" t="s">
        <v>221</v>
      </c>
      <c r="I47" s="164" t="s">
        <v>222</v>
      </c>
      <c r="J47" s="164" t="s">
        <v>220</v>
      </c>
      <c r="K47" s="164" t="s">
        <v>220</v>
      </c>
      <c r="L47" s="164" t="s">
        <v>220</v>
      </c>
      <c r="M47" s="164" t="s">
        <v>223</v>
      </c>
      <c r="N47" s="164" t="s">
        <v>93</v>
      </c>
      <c r="O47" s="164">
        <v>298</v>
      </c>
      <c r="P47" s="164">
        <v>0</v>
      </c>
      <c r="Q47" s="164">
        <v>0</v>
      </c>
      <c r="R47" s="164">
        <v>0</v>
      </c>
      <c r="S47" s="164">
        <v>0</v>
      </c>
      <c r="T47" s="164">
        <v>0</v>
      </c>
      <c r="U47" s="164">
        <v>0</v>
      </c>
      <c r="V47" s="164">
        <v>14.9</v>
      </c>
      <c r="W47" s="164">
        <v>312.89999999999998</v>
      </c>
      <c r="X47" s="164">
        <v>298</v>
      </c>
      <c r="Y47" s="164">
        <v>22</v>
      </c>
      <c r="Z47" s="164">
        <v>65.56</v>
      </c>
      <c r="AA47" s="164">
        <v>5.76</v>
      </c>
      <c r="AB47" s="164">
        <v>71.319999999999993</v>
      </c>
      <c r="AC47" s="164">
        <v>12.84</v>
      </c>
      <c r="AD47" s="164">
        <v>0</v>
      </c>
      <c r="AE47" s="164">
        <v>298</v>
      </c>
      <c r="AF47" s="164">
        <v>0</v>
      </c>
      <c r="AG47" s="164">
        <v>0</v>
      </c>
      <c r="AH47" s="164">
        <v>0.3</v>
      </c>
      <c r="AI47" s="164">
        <v>14.9</v>
      </c>
      <c r="AJ47" s="164">
        <v>0</v>
      </c>
      <c r="AK47" s="164">
        <v>28.04</v>
      </c>
      <c r="AL47" s="164">
        <v>0</v>
      </c>
      <c r="AM47" s="164">
        <v>0</v>
      </c>
      <c r="AN47" s="164">
        <v>0</v>
      </c>
      <c r="AO47" s="164">
        <v>0</v>
      </c>
      <c r="AP47" s="164">
        <v>0</v>
      </c>
      <c r="AQ47" s="164">
        <v>0</v>
      </c>
      <c r="AR47" s="164">
        <v>0</v>
      </c>
      <c r="AS47" s="164">
        <v>0</v>
      </c>
      <c r="AT47" s="164">
        <v>0</v>
      </c>
      <c r="AU47" s="164">
        <v>99.36</v>
      </c>
      <c r="AV47" s="164">
        <v>0</v>
      </c>
      <c r="AW47" s="164">
        <v>213.54</v>
      </c>
      <c r="AX47" s="164" t="s">
        <v>224</v>
      </c>
      <c r="AY47" s="164" t="s">
        <v>248</v>
      </c>
      <c r="AZ47" s="164" t="s">
        <v>249</v>
      </c>
      <c r="BA47" s="164">
        <v>0</v>
      </c>
      <c r="BB47" s="164" t="s">
        <v>376</v>
      </c>
    </row>
    <row r="48" spans="1:54">
      <c r="A48" s="164" t="s">
        <v>377</v>
      </c>
      <c r="B48" s="164" t="s">
        <v>378</v>
      </c>
      <c r="C48" s="164" t="s">
        <v>379</v>
      </c>
      <c r="D48" s="164" t="s">
        <v>48</v>
      </c>
      <c r="E48" s="164" t="s">
        <v>218</v>
      </c>
      <c r="F48" s="164" t="s">
        <v>219</v>
      </c>
      <c r="G48" s="164" t="s">
        <v>220</v>
      </c>
      <c r="H48" s="164" t="s">
        <v>221</v>
      </c>
      <c r="I48" s="164" t="s">
        <v>222</v>
      </c>
      <c r="J48" s="164" t="s">
        <v>220</v>
      </c>
      <c r="K48" s="164" t="s">
        <v>220</v>
      </c>
      <c r="L48" s="164" t="s">
        <v>220</v>
      </c>
      <c r="M48" s="164" t="s">
        <v>223</v>
      </c>
      <c r="N48" s="164" t="s">
        <v>93</v>
      </c>
      <c r="O48" s="164">
        <v>426</v>
      </c>
      <c r="P48" s="164">
        <v>0</v>
      </c>
      <c r="Q48" s="164">
        <v>0</v>
      </c>
      <c r="R48" s="164">
        <v>0</v>
      </c>
      <c r="S48" s="164">
        <v>0</v>
      </c>
      <c r="T48" s="164">
        <v>0</v>
      </c>
      <c r="U48" s="164">
        <v>0</v>
      </c>
      <c r="V48" s="164">
        <v>21.3</v>
      </c>
      <c r="W48" s="164">
        <v>447.3</v>
      </c>
      <c r="X48" s="164">
        <v>426</v>
      </c>
      <c r="Y48" s="164">
        <v>22</v>
      </c>
      <c r="Z48" s="164">
        <v>93.72</v>
      </c>
      <c r="AA48" s="164">
        <v>8.23</v>
      </c>
      <c r="AB48" s="164">
        <v>101.95</v>
      </c>
      <c r="AC48" s="164">
        <v>18.350000000000001</v>
      </c>
      <c r="AD48" s="164">
        <v>0</v>
      </c>
      <c r="AE48" s="164">
        <v>426</v>
      </c>
      <c r="AF48" s="164">
        <v>0</v>
      </c>
      <c r="AG48" s="164">
        <v>0</v>
      </c>
      <c r="AH48" s="164">
        <v>0.43</v>
      </c>
      <c r="AI48" s="164">
        <v>21.3</v>
      </c>
      <c r="AJ48" s="164">
        <v>0</v>
      </c>
      <c r="AK48" s="164">
        <v>40.08</v>
      </c>
      <c r="AL48" s="164">
        <v>0</v>
      </c>
      <c r="AM48" s="164">
        <v>0</v>
      </c>
      <c r="AN48" s="164">
        <v>0</v>
      </c>
      <c r="AO48" s="164">
        <v>0</v>
      </c>
      <c r="AP48" s="164">
        <v>0</v>
      </c>
      <c r="AQ48" s="164">
        <v>0</v>
      </c>
      <c r="AR48" s="164">
        <v>0</v>
      </c>
      <c r="AS48" s="164">
        <v>0</v>
      </c>
      <c r="AT48" s="164">
        <v>0</v>
      </c>
      <c r="AU48" s="164">
        <v>142.03</v>
      </c>
      <c r="AV48" s="164">
        <v>0</v>
      </c>
      <c r="AW48" s="164">
        <v>305.27</v>
      </c>
      <c r="AX48" s="164" t="s">
        <v>224</v>
      </c>
      <c r="AY48" s="164" t="s">
        <v>380</v>
      </c>
      <c r="AZ48" s="164" t="s">
        <v>381</v>
      </c>
      <c r="BA48" s="164">
        <v>0</v>
      </c>
      <c r="BB48" s="164" t="s">
        <v>279</v>
      </c>
    </row>
    <row r="49" spans="1:54">
      <c r="A49" s="164" t="s">
        <v>382</v>
      </c>
      <c r="B49" s="164" t="s">
        <v>383</v>
      </c>
      <c r="C49" s="164" t="s">
        <v>384</v>
      </c>
      <c r="D49" s="164" t="s">
        <v>48</v>
      </c>
      <c r="E49" s="164" t="s">
        <v>218</v>
      </c>
      <c r="F49" s="164" t="s">
        <v>219</v>
      </c>
      <c r="G49" s="164" t="s">
        <v>220</v>
      </c>
      <c r="H49" s="164" t="s">
        <v>221</v>
      </c>
      <c r="I49" s="164" t="s">
        <v>222</v>
      </c>
      <c r="J49" s="164" t="s">
        <v>220</v>
      </c>
      <c r="K49" s="164" t="s">
        <v>220</v>
      </c>
      <c r="L49" s="164" t="s">
        <v>220</v>
      </c>
      <c r="M49" s="164" t="s">
        <v>223</v>
      </c>
      <c r="N49" s="164" t="s">
        <v>93</v>
      </c>
      <c r="O49" s="164">
        <v>733</v>
      </c>
      <c r="P49" s="164">
        <v>0</v>
      </c>
      <c r="Q49" s="164">
        <v>0</v>
      </c>
      <c r="R49" s="164">
        <v>0</v>
      </c>
      <c r="S49" s="164">
        <v>0</v>
      </c>
      <c r="T49" s="164">
        <v>0</v>
      </c>
      <c r="U49" s="164">
        <v>0</v>
      </c>
      <c r="V49" s="164">
        <v>36.65</v>
      </c>
      <c r="W49" s="164">
        <v>769.65</v>
      </c>
      <c r="X49" s="164">
        <v>733</v>
      </c>
      <c r="Y49" s="164">
        <v>22</v>
      </c>
      <c r="Z49" s="164">
        <v>161.26</v>
      </c>
      <c r="AA49" s="164">
        <v>14.16</v>
      </c>
      <c r="AB49" s="164">
        <v>175.42</v>
      </c>
      <c r="AC49" s="164">
        <v>31.58</v>
      </c>
      <c r="AD49" s="164">
        <v>0</v>
      </c>
      <c r="AE49" s="164">
        <v>733</v>
      </c>
      <c r="AF49" s="164">
        <v>0</v>
      </c>
      <c r="AG49" s="164">
        <v>0</v>
      </c>
      <c r="AH49" s="164">
        <v>0.73</v>
      </c>
      <c r="AI49" s="164">
        <v>36.65</v>
      </c>
      <c r="AJ49" s="164">
        <v>0</v>
      </c>
      <c r="AK49" s="164">
        <v>68.959999999999994</v>
      </c>
      <c r="AL49" s="164">
        <v>0</v>
      </c>
      <c r="AM49" s="164">
        <v>0</v>
      </c>
      <c r="AN49" s="164">
        <v>0</v>
      </c>
      <c r="AO49" s="164">
        <v>0</v>
      </c>
      <c r="AP49" s="164">
        <v>0</v>
      </c>
      <c r="AQ49" s="164">
        <v>0</v>
      </c>
      <c r="AR49" s="164">
        <v>0</v>
      </c>
      <c r="AS49" s="164">
        <v>0</v>
      </c>
      <c r="AT49" s="164">
        <v>0</v>
      </c>
      <c r="AU49" s="164">
        <v>244.38</v>
      </c>
      <c r="AV49" s="164">
        <v>0</v>
      </c>
      <c r="AW49" s="164">
        <v>525.27</v>
      </c>
      <c r="AX49" s="164" t="s">
        <v>224</v>
      </c>
      <c r="AY49" s="164" t="s">
        <v>380</v>
      </c>
      <c r="AZ49" s="164" t="s">
        <v>381</v>
      </c>
      <c r="BA49" s="164">
        <v>0</v>
      </c>
      <c r="BB49" s="164" t="s">
        <v>385</v>
      </c>
    </row>
    <row r="50" spans="1:54">
      <c r="A50" s="164" t="s">
        <v>386</v>
      </c>
      <c r="B50" s="164" t="s">
        <v>387</v>
      </c>
      <c r="C50" s="164" t="s">
        <v>388</v>
      </c>
      <c r="D50" s="164" t="s">
        <v>48</v>
      </c>
      <c r="E50" s="164" t="s">
        <v>218</v>
      </c>
      <c r="F50" s="164" t="s">
        <v>219</v>
      </c>
      <c r="G50" s="164" t="s">
        <v>220</v>
      </c>
      <c r="H50" s="164" t="s">
        <v>221</v>
      </c>
      <c r="I50" s="164" t="s">
        <v>222</v>
      </c>
      <c r="J50" s="164" t="s">
        <v>220</v>
      </c>
      <c r="K50" s="164" t="s">
        <v>220</v>
      </c>
      <c r="L50" s="164" t="s">
        <v>220</v>
      </c>
      <c r="M50" s="164" t="s">
        <v>223</v>
      </c>
      <c r="N50" s="164" t="s">
        <v>93</v>
      </c>
      <c r="O50" s="164">
        <v>249</v>
      </c>
      <c r="P50" s="164">
        <v>0</v>
      </c>
      <c r="Q50" s="164">
        <v>0</v>
      </c>
      <c r="R50" s="164">
        <v>0</v>
      </c>
      <c r="S50" s="164">
        <v>0</v>
      </c>
      <c r="T50" s="164">
        <v>0</v>
      </c>
      <c r="U50" s="164">
        <v>0</v>
      </c>
      <c r="V50" s="164">
        <v>12.45</v>
      </c>
      <c r="W50" s="164">
        <v>261.45</v>
      </c>
      <c r="X50" s="164">
        <v>249</v>
      </c>
      <c r="Y50" s="164">
        <v>22</v>
      </c>
      <c r="Z50" s="164">
        <v>54.78</v>
      </c>
      <c r="AA50" s="164">
        <v>4.8099999999999996</v>
      </c>
      <c r="AB50" s="164">
        <v>59.59</v>
      </c>
      <c r="AC50" s="164">
        <v>10.73</v>
      </c>
      <c r="AD50" s="164">
        <v>0</v>
      </c>
      <c r="AE50" s="164">
        <v>249</v>
      </c>
      <c r="AF50" s="164">
        <v>0</v>
      </c>
      <c r="AG50" s="164">
        <v>0</v>
      </c>
      <c r="AH50" s="164">
        <v>0.25</v>
      </c>
      <c r="AI50" s="164">
        <v>12.45</v>
      </c>
      <c r="AJ50" s="164">
        <v>0</v>
      </c>
      <c r="AK50" s="164">
        <v>23.43</v>
      </c>
      <c r="AL50" s="164">
        <v>0</v>
      </c>
      <c r="AM50" s="164">
        <v>0</v>
      </c>
      <c r="AN50" s="164">
        <v>0</v>
      </c>
      <c r="AO50" s="164">
        <v>0</v>
      </c>
      <c r="AP50" s="164">
        <v>0</v>
      </c>
      <c r="AQ50" s="164">
        <v>0</v>
      </c>
      <c r="AR50" s="164">
        <v>0</v>
      </c>
      <c r="AS50" s="164">
        <v>0</v>
      </c>
      <c r="AT50" s="164">
        <v>0</v>
      </c>
      <c r="AU50" s="164">
        <v>83.02</v>
      </c>
      <c r="AV50" s="164">
        <v>0</v>
      </c>
      <c r="AW50" s="164">
        <v>178.43</v>
      </c>
      <c r="AX50" s="164" t="s">
        <v>224</v>
      </c>
      <c r="AY50" s="164" t="s">
        <v>380</v>
      </c>
      <c r="AZ50" s="164" t="s">
        <v>381</v>
      </c>
      <c r="BA50" s="164">
        <v>0</v>
      </c>
      <c r="BB50" s="164" t="s">
        <v>227</v>
      </c>
    </row>
    <row r="51" spans="1:54">
      <c r="A51" s="164" t="s">
        <v>389</v>
      </c>
      <c r="B51" s="164" t="s">
        <v>390</v>
      </c>
      <c r="C51" s="164" t="s">
        <v>391</v>
      </c>
      <c r="D51" s="164" t="s">
        <v>48</v>
      </c>
      <c r="E51" s="164" t="s">
        <v>218</v>
      </c>
      <c r="F51" s="164" t="s">
        <v>219</v>
      </c>
      <c r="G51" s="164" t="s">
        <v>220</v>
      </c>
      <c r="H51" s="164" t="s">
        <v>221</v>
      </c>
      <c r="I51" s="164" t="s">
        <v>222</v>
      </c>
      <c r="J51" s="164" t="s">
        <v>220</v>
      </c>
      <c r="K51" s="164" t="s">
        <v>220</v>
      </c>
      <c r="L51" s="164" t="s">
        <v>220</v>
      </c>
      <c r="M51" s="164" t="s">
        <v>223</v>
      </c>
      <c r="N51" s="164" t="s">
        <v>93</v>
      </c>
      <c r="O51" s="164">
        <v>498</v>
      </c>
      <c r="P51" s="164">
        <v>0</v>
      </c>
      <c r="Q51" s="164">
        <v>0</v>
      </c>
      <c r="R51" s="164">
        <v>0</v>
      </c>
      <c r="S51" s="164">
        <v>0</v>
      </c>
      <c r="T51" s="164">
        <v>0</v>
      </c>
      <c r="U51" s="164">
        <v>0</v>
      </c>
      <c r="V51" s="164">
        <v>24.9</v>
      </c>
      <c r="W51" s="164">
        <v>522.9</v>
      </c>
      <c r="X51" s="164">
        <v>498</v>
      </c>
      <c r="Y51" s="164">
        <v>22</v>
      </c>
      <c r="Z51" s="164">
        <v>109.56</v>
      </c>
      <c r="AA51" s="164">
        <v>9.6199999999999992</v>
      </c>
      <c r="AB51" s="164">
        <v>119.18</v>
      </c>
      <c r="AC51" s="164">
        <v>21.45</v>
      </c>
      <c r="AD51" s="164">
        <v>0</v>
      </c>
      <c r="AE51" s="164">
        <v>498</v>
      </c>
      <c r="AF51" s="164">
        <v>0</v>
      </c>
      <c r="AG51" s="164">
        <v>0</v>
      </c>
      <c r="AH51" s="164">
        <v>0.5</v>
      </c>
      <c r="AI51" s="164">
        <v>24.9</v>
      </c>
      <c r="AJ51" s="164">
        <v>0</v>
      </c>
      <c r="AK51" s="164">
        <v>46.85</v>
      </c>
      <c r="AL51" s="164">
        <v>0</v>
      </c>
      <c r="AM51" s="164">
        <v>0</v>
      </c>
      <c r="AN51" s="164">
        <v>0</v>
      </c>
      <c r="AO51" s="164">
        <v>0</v>
      </c>
      <c r="AP51" s="164">
        <v>0</v>
      </c>
      <c r="AQ51" s="164">
        <v>0</v>
      </c>
      <c r="AR51" s="164">
        <v>0</v>
      </c>
      <c r="AS51" s="164">
        <v>0</v>
      </c>
      <c r="AT51" s="164">
        <v>0</v>
      </c>
      <c r="AU51" s="164">
        <v>166.03</v>
      </c>
      <c r="AV51" s="164">
        <v>0</v>
      </c>
      <c r="AW51" s="164">
        <v>356.87</v>
      </c>
      <c r="AX51" s="164" t="s">
        <v>224</v>
      </c>
      <c r="AY51" s="164" t="s">
        <v>380</v>
      </c>
      <c r="AZ51" s="164" t="s">
        <v>381</v>
      </c>
      <c r="BA51" s="164">
        <v>0</v>
      </c>
      <c r="BB51" s="164" t="s">
        <v>392</v>
      </c>
    </row>
    <row r="52" spans="1:54">
      <c r="A52" s="164" t="s">
        <v>393</v>
      </c>
      <c r="B52" s="164" t="s">
        <v>394</v>
      </c>
      <c r="C52" s="164" t="s">
        <v>395</v>
      </c>
      <c r="D52" s="164" t="s">
        <v>48</v>
      </c>
      <c r="E52" s="164" t="s">
        <v>218</v>
      </c>
      <c r="F52" s="164" t="s">
        <v>219</v>
      </c>
      <c r="G52" s="164" t="s">
        <v>220</v>
      </c>
      <c r="H52" s="164" t="s">
        <v>221</v>
      </c>
      <c r="I52" s="164" t="s">
        <v>222</v>
      </c>
      <c r="J52" s="164" t="s">
        <v>220</v>
      </c>
      <c r="K52" s="164" t="s">
        <v>220</v>
      </c>
      <c r="L52" s="164" t="s">
        <v>220</v>
      </c>
      <c r="M52" s="164" t="s">
        <v>223</v>
      </c>
      <c r="N52" s="164" t="s">
        <v>93</v>
      </c>
      <c r="O52" s="164">
        <v>196</v>
      </c>
      <c r="P52" s="164">
        <v>0</v>
      </c>
      <c r="Q52" s="164">
        <v>0</v>
      </c>
      <c r="R52" s="164">
        <v>0</v>
      </c>
      <c r="S52" s="164">
        <v>0</v>
      </c>
      <c r="T52" s="164">
        <v>0</v>
      </c>
      <c r="U52" s="164">
        <v>0</v>
      </c>
      <c r="V52" s="164">
        <v>9.8000000000000007</v>
      </c>
      <c r="W52" s="164">
        <v>205.8</v>
      </c>
      <c r="X52" s="164">
        <v>196</v>
      </c>
      <c r="Y52" s="164">
        <v>22</v>
      </c>
      <c r="Z52" s="164">
        <v>43.12</v>
      </c>
      <c r="AA52" s="164">
        <v>3.79</v>
      </c>
      <c r="AB52" s="164">
        <v>46.91</v>
      </c>
      <c r="AC52" s="164">
        <v>8.44</v>
      </c>
      <c r="AD52" s="164">
        <v>0</v>
      </c>
      <c r="AE52" s="164">
        <v>196</v>
      </c>
      <c r="AF52" s="164">
        <v>0</v>
      </c>
      <c r="AG52" s="164">
        <v>0</v>
      </c>
      <c r="AH52" s="164">
        <v>0.2</v>
      </c>
      <c r="AI52" s="164">
        <v>9.8000000000000007</v>
      </c>
      <c r="AJ52" s="164">
        <v>0</v>
      </c>
      <c r="AK52" s="164">
        <v>18.440000000000001</v>
      </c>
      <c r="AL52" s="164">
        <v>0</v>
      </c>
      <c r="AM52" s="164">
        <v>0</v>
      </c>
      <c r="AN52" s="164">
        <v>0</v>
      </c>
      <c r="AO52" s="164">
        <v>0</v>
      </c>
      <c r="AP52" s="164">
        <v>0</v>
      </c>
      <c r="AQ52" s="164">
        <v>0</v>
      </c>
      <c r="AR52" s="164">
        <v>0</v>
      </c>
      <c r="AS52" s="164">
        <v>0</v>
      </c>
      <c r="AT52" s="164">
        <v>0</v>
      </c>
      <c r="AU52" s="164">
        <v>65.349999999999994</v>
      </c>
      <c r="AV52" s="164">
        <v>0</v>
      </c>
      <c r="AW52" s="164">
        <v>140.44999999999999</v>
      </c>
      <c r="AX52" s="164" t="s">
        <v>224</v>
      </c>
      <c r="AY52" s="164" t="s">
        <v>380</v>
      </c>
      <c r="AZ52" s="164" t="s">
        <v>381</v>
      </c>
      <c r="BA52" s="164">
        <v>0</v>
      </c>
      <c r="BB52" s="164" t="s">
        <v>396</v>
      </c>
    </row>
    <row r="53" spans="1:54">
      <c r="A53" s="164" t="s">
        <v>397</v>
      </c>
      <c r="B53" s="164" t="s">
        <v>398</v>
      </c>
      <c r="C53" s="164" t="s">
        <v>399</v>
      </c>
      <c r="D53" s="164" t="s">
        <v>48</v>
      </c>
      <c r="E53" s="164" t="s">
        <v>218</v>
      </c>
      <c r="F53" s="164" t="s">
        <v>219</v>
      </c>
      <c r="G53" s="164" t="s">
        <v>220</v>
      </c>
      <c r="H53" s="164" t="s">
        <v>221</v>
      </c>
      <c r="I53" s="164" t="s">
        <v>222</v>
      </c>
      <c r="J53" s="164" t="s">
        <v>220</v>
      </c>
      <c r="K53" s="164" t="s">
        <v>220</v>
      </c>
      <c r="L53" s="164" t="s">
        <v>220</v>
      </c>
      <c r="M53" s="164" t="s">
        <v>223</v>
      </c>
      <c r="N53" s="164" t="s">
        <v>93</v>
      </c>
      <c r="O53" s="164">
        <v>1081</v>
      </c>
      <c r="P53" s="164">
        <v>0</v>
      </c>
      <c r="Q53" s="164">
        <v>0</v>
      </c>
      <c r="R53" s="164">
        <v>0</v>
      </c>
      <c r="S53" s="164">
        <v>0</v>
      </c>
      <c r="T53" s="164">
        <v>0</v>
      </c>
      <c r="U53" s="164">
        <v>0</v>
      </c>
      <c r="V53" s="164">
        <v>54.05</v>
      </c>
      <c r="W53" s="164">
        <v>1135.05</v>
      </c>
      <c r="X53" s="164">
        <v>1081</v>
      </c>
      <c r="Y53" s="164">
        <v>22</v>
      </c>
      <c r="Z53" s="164">
        <v>237.82</v>
      </c>
      <c r="AA53" s="164">
        <v>20.88</v>
      </c>
      <c r="AB53" s="164">
        <v>258.7</v>
      </c>
      <c r="AC53" s="164">
        <v>46.57</v>
      </c>
      <c r="AD53" s="164">
        <v>0</v>
      </c>
      <c r="AE53" s="164">
        <v>1081</v>
      </c>
      <c r="AF53" s="164">
        <v>0</v>
      </c>
      <c r="AG53" s="164">
        <v>0</v>
      </c>
      <c r="AH53" s="164">
        <v>1.08</v>
      </c>
      <c r="AI53" s="164">
        <v>54.05</v>
      </c>
      <c r="AJ53" s="164">
        <v>0</v>
      </c>
      <c r="AK53" s="164">
        <v>101.7</v>
      </c>
      <c r="AL53" s="164">
        <v>0</v>
      </c>
      <c r="AM53" s="164">
        <v>0</v>
      </c>
      <c r="AN53" s="164">
        <v>0</v>
      </c>
      <c r="AO53" s="164">
        <v>0</v>
      </c>
      <c r="AP53" s="164">
        <v>0</v>
      </c>
      <c r="AQ53" s="164">
        <v>0</v>
      </c>
      <c r="AR53" s="164">
        <v>0</v>
      </c>
      <c r="AS53" s="164">
        <v>0</v>
      </c>
      <c r="AT53" s="164">
        <v>0</v>
      </c>
      <c r="AU53" s="164">
        <v>360.4</v>
      </c>
      <c r="AV53" s="164">
        <v>0</v>
      </c>
      <c r="AW53" s="164">
        <v>774.65</v>
      </c>
      <c r="AX53" s="164" t="s">
        <v>224</v>
      </c>
      <c r="AY53" s="164" t="s">
        <v>380</v>
      </c>
      <c r="AZ53" s="164" t="s">
        <v>381</v>
      </c>
      <c r="BA53" s="164">
        <v>0</v>
      </c>
      <c r="BB53" s="164" t="s">
        <v>400</v>
      </c>
    </row>
    <row r="54" spans="1:54">
      <c r="A54" s="164" t="s">
        <v>401</v>
      </c>
      <c r="B54" s="164" t="s">
        <v>402</v>
      </c>
      <c r="C54" s="164" t="s">
        <v>403</v>
      </c>
      <c r="D54" s="164" t="s">
        <v>48</v>
      </c>
      <c r="E54" s="164" t="s">
        <v>218</v>
      </c>
      <c r="F54" s="164" t="s">
        <v>219</v>
      </c>
      <c r="G54" s="164" t="s">
        <v>220</v>
      </c>
      <c r="H54" s="164" t="s">
        <v>221</v>
      </c>
      <c r="I54" s="164" t="s">
        <v>222</v>
      </c>
      <c r="J54" s="164" t="s">
        <v>220</v>
      </c>
      <c r="K54" s="164" t="s">
        <v>220</v>
      </c>
      <c r="L54" s="164" t="s">
        <v>220</v>
      </c>
      <c r="M54" s="164" t="s">
        <v>223</v>
      </c>
      <c r="N54" s="164" t="s">
        <v>93</v>
      </c>
      <c r="O54" s="164">
        <v>199</v>
      </c>
      <c r="P54" s="164">
        <v>0</v>
      </c>
      <c r="Q54" s="164">
        <v>0</v>
      </c>
      <c r="R54" s="164">
        <v>0</v>
      </c>
      <c r="S54" s="164">
        <v>0</v>
      </c>
      <c r="T54" s="164">
        <v>0</v>
      </c>
      <c r="U54" s="164">
        <v>0</v>
      </c>
      <c r="V54" s="164">
        <v>9.9499999999999993</v>
      </c>
      <c r="W54" s="164">
        <v>208.95</v>
      </c>
      <c r="X54" s="164">
        <v>199</v>
      </c>
      <c r="Y54" s="164">
        <v>22</v>
      </c>
      <c r="Z54" s="164">
        <v>43.78</v>
      </c>
      <c r="AA54" s="164">
        <v>3.84</v>
      </c>
      <c r="AB54" s="164">
        <v>47.62</v>
      </c>
      <c r="AC54" s="164">
        <v>8.57</v>
      </c>
      <c r="AD54" s="164">
        <v>0</v>
      </c>
      <c r="AE54" s="164">
        <v>199</v>
      </c>
      <c r="AF54" s="164">
        <v>0</v>
      </c>
      <c r="AG54" s="164">
        <v>0</v>
      </c>
      <c r="AH54" s="164">
        <v>0.2</v>
      </c>
      <c r="AI54" s="164">
        <v>9.9499999999999993</v>
      </c>
      <c r="AJ54" s="164">
        <v>0</v>
      </c>
      <c r="AK54" s="164">
        <v>18.72</v>
      </c>
      <c r="AL54" s="164">
        <v>0</v>
      </c>
      <c r="AM54" s="164">
        <v>0</v>
      </c>
      <c r="AN54" s="164">
        <v>0</v>
      </c>
      <c r="AO54" s="164">
        <v>0</v>
      </c>
      <c r="AP54" s="164">
        <v>0</v>
      </c>
      <c r="AQ54" s="164">
        <v>0</v>
      </c>
      <c r="AR54" s="164">
        <v>0</v>
      </c>
      <c r="AS54" s="164">
        <v>0</v>
      </c>
      <c r="AT54" s="164">
        <v>0</v>
      </c>
      <c r="AU54" s="164">
        <v>66.34</v>
      </c>
      <c r="AV54" s="164">
        <v>0</v>
      </c>
      <c r="AW54" s="164">
        <v>142.61000000000001</v>
      </c>
      <c r="AX54" s="164" t="s">
        <v>224</v>
      </c>
      <c r="AY54" s="164" t="s">
        <v>380</v>
      </c>
      <c r="AZ54" s="164" t="s">
        <v>381</v>
      </c>
      <c r="BA54" s="164">
        <v>0</v>
      </c>
      <c r="BB54" s="164" t="s">
        <v>404</v>
      </c>
    </row>
    <row r="55" spans="1:54">
      <c r="A55" s="164" t="s">
        <v>405</v>
      </c>
      <c r="B55" s="164" t="s">
        <v>406</v>
      </c>
      <c r="C55" s="164" t="s">
        <v>407</v>
      </c>
      <c r="D55" s="164" t="s">
        <v>48</v>
      </c>
      <c r="E55" s="164" t="s">
        <v>218</v>
      </c>
      <c r="F55" s="164" t="s">
        <v>219</v>
      </c>
      <c r="G55" s="164" t="s">
        <v>220</v>
      </c>
      <c r="H55" s="164" t="s">
        <v>221</v>
      </c>
      <c r="I55" s="164" t="s">
        <v>222</v>
      </c>
      <c r="J55" s="164" t="s">
        <v>220</v>
      </c>
      <c r="K55" s="164" t="s">
        <v>220</v>
      </c>
      <c r="L55" s="164" t="s">
        <v>220</v>
      </c>
      <c r="M55" s="164" t="s">
        <v>223</v>
      </c>
      <c r="N55" s="164" t="s">
        <v>93</v>
      </c>
      <c r="O55" s="164">
        <v>360</v>
      </c>
      <c r="P55" s="164">
        <v>0</v>
      </c>
      <c r="Q55" s="164">
        <v>0</v>
      </c>
      <c r="R55" s="164">
        <v>0</v>
      </c>
      <c r="S55" s="164">
        <v>0</v>
      </c>
      <c r="T55" s="164">
        <v>0</v>
      </c>
      <c r="U55" s="164">
        <v>0</v>
      </c>
      <c r="V55" s="164">
        <v>18</v>
      </c>
      <c r="W55" s="164">
        <v>378</v>
      </c>
      <c r="X55" s="164">
        <v>360</v>
      </c>
      <c r="Y55" s="164">
        <v>22</v>
      </c>
      <c r="Z55" s="164">
        <v>79.2</v>
      </c>
      <c r="AA55" s="164">
        <v>6.96</v>
      </c>
      <c r="AB55" s="164">
        <v>86.16</v>
      </c>
      <c r="AC55" s="164">
        <v>15.51</v>
      </c>
      <c r="AD55" s="164">
        <v>0</v>
      </c>
      <c r="AE55" s="164">
        <v>360</v>
      </c>
      <c r="AF55" s="164">
        <v>0</v>
      </c>
      <c r="AG55" s="164">
        <v>0</v>
      </c>
      <c r="AH55" s="164">
        <v>0.36</v>
      </c>
      <c r="AI55" s="164">
        <v>18</v>
      </c>
      <c r="AJ55" s="164">
        <v>0</v>
      </c>
      <c r="AK55" s="164">
        <v>33.869999999999997</v>
      </c>
      <c r="AL55" s="164">
        <v>0</v>
      </c>
      <c r="AM55" s="164">
        <v>0</v>
      </c>
      <c r="AN55" s="164">
        <v>0</v>
      </c>
      <c r="AO55" s="164">
        <v>0</v>
      </c>
      <c r="AP55" s="164">
        <v>0</v>
      </c>
      <c r="AQ55" s="164">
        <v>0</v>
      </c>
      <c r="AR55" s="164">
        <v>0</v>
      </c>
      <c r="AS55" s="164">
        <v>0</v>
      </c>
      <c r="AT55" s="164">
        <v>0</v>
      </c>
      <c r="AU55" s="164">
        <v>120.03</v>
      </c>
      <c r="AV55" s="164">
        <v>0</v>
      </c>
      <c r="AW55" s="164">
        <v>257.97000000000003</v>
      </c>
      <c r="AX55" s="164" t="s">
        <v>224</v>
      </c>
      <c r="AY55" s="164" t="s">
        <v>380</v>
      </c>
      <c r="AZ55" s="164" t="s">
        <v>381</v>
      </c>
      <c r="BA55" s="164">
        <v>0</v>
      </c>
      <c r="BB55" s="164" t="s">
        <v>408</v>
      </c>
    </row>
    <row r="56" spans="1:54">
      <c r="A56" s="164" t="s">
        <v>409</v>
      </c>
      <c r="B56" s="164" t="s">
        <v>410</v>
      </c>
      <c r="C56" s="164" t="s">
        <v>411</v>
      </c>
      <c r="D56" s="164" t="s">
        <v>48</v>
      </c>
      <c r="E56" s="164" t="s">
        <v>218</v>
      </c>
      <c r="F56" s="164" t="s">
        <v>219</v>
      </c>
      <c r="G56" s="164" t="s">
        <v>220</v>
      </c>
      <c r="H56" s="164" t="s">
        <v>221</v>
      </c>
      <c r="I56" s="164" t="s">
        <v>222</v>
      </c>
      <c r="J56" s="164" t="s">
        <v>220</v>
      </c>
      <c r="K56" s="164" t="s">
        <v>220</v>
      </c>
      <c r="L56" s="164" t="s">
        <v>220</v>
      </c>
      <c r="M56" s="164" t="s">
        <v>223</v>
      </c>
      <c r="N56" s="164" t="s">
        <v>93</v>
      </c>
      <c r="O56" s="164">
        <v>425</v>
      </c>
      <c r="P56" s="164">
        <v>0</v>
      </c>
      <c r="Q56" s="164">
        <v>0</v>
      </c>
      <c r="R56" s="164">
        <v>0</v>
      </c>
      <c r="S56" s="164">
        <v>0</v>
      </c>
      <c r="T56" s="164">
        <v>0</v>
      </c>
      <c r="U56" s="164">
        <v>0</v>
      </c>
      <c r="V56" s="164">
        <v>21.25</v>
      </c>
      <c r="W56" s="164">
        <v>446.25</v>
      </c>
      <c r="X56" s="164">
        <v>425</v>
      </c>
      <c r="Y56" s="164">
        <v>22</v>
      </c>
      <c r="Z56" s="164">
        <v>93.5</v>
      </c>
      <c r="AA56" s="164">
        <v>8.2100000000000009</v>
      </c>
      <c r="AB56" s="164">
        <v>101.71</v>
      </c>
      <c r="AC56" s="164">
        <v>18.309999999999999</v>
      </c>
      <c r="AD56" s="164">
        <v>0</v>
      </c>
      <c r="AE56" s="164">
        <v>425</v>
      </c>
      <c r="AF56" s="164">
        <v>0</v>
      </c>
      <c r="AG56" s="164">
        <v>0</v>
      </c>
      <c r="AH56" s="164">
        <v>0.42</v>
      </c>
      <c r="AI56" s="164">
        <v>21.25</v>
      </c>
      <c r="AJ56" s="164">
        <v>0</v>
      </c>
      <c r="AK56" s="164">
        <v>39.979999999999997</v>
      </c>
      <c r="AL56" s="164">
        <v>0</v>
      </c>
      <c r="AM56" s="164">
        <v>0</v>
      </c>
      <c r="AN56" s="164">
        <v>0</v>
      </c>
      <c r="AO56" s="164">
        <v>0</v>
      </c>
      <c r="AP56" s="164">
        <v>0</v>
      </c>
      <c r="AQ56" s="164">
        <v>0</v>
      </c>
      <c r="AR56" s="164">
        <v>0</v>
      </c>
      <c r="AS56" s="164">
        <v>0</v>
      </c>
      <c r="AT56" s="164">
        <v>0</v>
      </c>
      <c r="AU56" s="164">
        <v>141.69</v>
      </c>
      <c r="AV56" s="164">
        <v>0</v>
      </c>
      <c r="AW56" s="164">
        <v>304.56</v>
      </c>
      <c r="AX56" s="164" t="s">
        <v>224</v>
      </c>
      <c r="AY56" s="164" t="s">
        <v>380</v>
      </c>
      <c r="AZ56" s="164" t="s">
        <v>381</v>
      </c>
      <c r="BA56" s="164">
        <v>0</v>
      </c>
      <c r="BB56" s="164" t="s">
        <v>233</v>
      </c>
    </row>
    <row r="57" spans="1:54">
      <c r="A57" s="164" t="s">
        <v>412</v>
      </c>
      <c r="B57" s="164" t="s">
        <v>413</v>
      </c>
      <c r="C57" s="164" t="s">
        <v>414</v>
      </c>
      <c r="D57" s="164" t="s">
        <v>48</v>
      </c>
      <c r="E57" s="164" t="s">
        <v>218</v>
      </c>
      <c r="F57" s="164" t="s">
        <v>219</v>
      </c>
      <c r="G57" s="164" t="s">
        <v>220</v>
      </c>
      <c r="H57" s="164" t="s">
        <v>221</v>
      </c>
      <c r="I57" s="164" t="s">
        <v>222</v>
      </c>
      <c r="J57" s="164" t="s">
        <v>220</v>
      </c>
      <c r="K57" s="164" t="s">
        <v>220</v>
      </c>
      <c r="L57" s="164" t="s">
        <v>220</v>
      </c>
      <c r="M57" s="164" t="s">
        <v>223</v>
      </c>
      <c r="N57" s="164" t="s">
        <v>93</v>
      </c>
      <c r="O57" s="164">
        <v>196</v>
      </c>
      <c r="P57" s="164">
        <v>0</v>
      </c>
      <c r="Q57" s="164">
        <v>0</v>
      </c>
      <c r="R57" s="164">
        <v>0</v>
      </c>
      <c r="S57" s="164">
        <v>0</v>
      </c>
      <c r="T57" s="164">
        <v>0</v>
      </c>
      <c r="U57" s="164">
        <v>0</v>
      </c>
      <c r="V57" s="164">
        <v>9.8000000000000007</v>
      </c>
      <c r="W57" s="164">
        <v>205.8</v>
      </c>
      <c r="X57" s="164">
        <v>196</v>
      </c>
      <c r="Y57" s="164">
        <v>22</v>
      </c>
      <c r="Z57" s="164">
        <v>43.12</v>
      </c>
      <c r="AA57" s="164">
        <v>3.79</v>
      </c>
      <c r="AB57" s="164">
        <v>46.91</v>
      </c>
      <c r="AC57" s="164">
        <v>8.44</v>
      </c>
      <c r="AD57" s="164">
        <v>0</v>
      </c>
      <c r="AE57" s="164">
        <v>196</v>
      </c>
      <c r="AF57" s="164">
        <v>0</v>
      </c>
      <c r="AG57" s="164">
        <v>0</v>
      </c>
      <c r="AH57" s="164">
        <v>0.2</v>
      </c>
      <c r="AI57" s="164">
        <v>9.8000000000000007</v>
      </c>
      <c r="AJ57" s="164">
        <v>0</v>
      </c>
      <c r="AK57" s="164">
        <v>18.440000000000001</v>
      </c>
      <c r="AL57" s="164">
        <v>0</v>
      </c>
      <c r="AM57" s="164">
        <v>0</v>
      </c>
      <c r="AN57" s="164">
        <v>0</v>
      </c>
      <c r="AO57" s="164">
        <v>0</v>
      </c>
      <c r="AP57" s="164">
        <v>0</v>
      </c>
      <c r="AQ57" s="164">
        <v>0</v>
      </c>
      <c r="AR57" s="164">
        <v>0</v>
      </c>
      <c r="AS57" s="164">
        <v>0</v>
      </c>
      <c r="AT57" s="164">
        <v>0</v>
      </c>
      <c r="AU57" s="164">
        <v>65.349999999999994</v>
      </c>
      <c r="AV57" s="164">
        <v>0</v>
      </c>
      <c r="AW57" s="164">
        <v>140.44999999999999</v>
      </c>
      <c r="AX57" s="164" t="s">
        <v>224</v>
      </c>
      <c r="AY57" s="164" t="s">
        <v>380</v>
      </c>
      <c r="AZ57" s="164" t="s">
        <v>381</v>
      </c>
      <c r="BA57" s="164">
        <v>0</v>
      </c>
      <c r="BB57" s="164" t="s">
        <v>415</v>
      </c>
    </row>
    <row r="58" spans="1:54">
      <c r="A58" s="164" t="s">
        <v>416</v>
      </c>
      <c r="B58" s="164" t="s">
        <v>417</v>
      </c>
      <c r="C58" s="164" t="s">
        <v>418</v>
      </c>
      <c r="D58" s="164" t="s">
        <v>48</v>
      </c>
      <c r="E58" s="164" t="s">
        <v>218</v>
      </c>
      <c r="F58" s="164" t="s">
        <v>219</v>
      </c>
      <c r="G58" s="164" t="s">
        <v>220</v>
      </c>
      <c r="H58" s="164" t="s">
        <v>221</v>
      </c>
      <c r="I58" s="164" t="s">
        <v>222</v>
      </c>
      <c r="J58" s="164" t="s">
        <v>220</v>
      </c>
      <c r="K58" s="164" t="s">
        <v>220</v>
      </c>
      <c r="L58" s="164" t="s">
        <v>220</v>
      </c>
      <c r="M58" s="164" t="s">
        <v>223</v>
      </c>
      <c r="N58" s="164" t="s">
        <v>93</v>
      </c>
      <c r="O58" s="164">
        <v>609</v>
      </c>
      <c r="P58" s="164">
        <v>0</v>
      </c>
      <c r="Q58" s="164">
        <v>0</v>
      </c>
      <c r="R58" s="164">
        <v>0</v>
      </c>
      <c r="S58" s="164">
        <v>0</v>
      </c>
      <c r="T58" s="164">
        <v>0</v>
      </c>
      <c r="U58" s="164">
        <v>0</v>
      </c>
      <c r="V58" s="164">
        <v>30.45</v>
      </c>
      <c r="W58" s="164">
        <v>639.45000000000005</v>
      </c>
      <c r="X58" s="164">
        <v>609</v>
      </c>
      <c r="Y58" s="164">
        <v>22</v>
      </c>
      <c r="Z58" s="164">
        <v>133.97999999999999</v>
      </c>
      <c r="AA58" s="164">
        <v>11.77</v>
      </c>
      <c r="AB58" s="164">
        <v>145.75</v>
      </c>
      <c r="AC58" s="164">
        <v>26.24</v>
      </c>
      <c r="AD58" s="164">
        <v>0</v>
      </c>
      <c r="AE58" s="164">
        <v>609</v>
      </c>
      <c r="AF58" s="164">
        <v>0</v>
      </c>
      <c r="AG58" s="164">
        <v>0</v>
      </c>
      <c r="AH58" s="164">
        <v>0.61</v>
      </c>
      <c r="AI58" s="164">
        <v>30.45</v>
      </c>
      <c r="AJ58" s="164">
        <v>0</v>
      </c>
      <c r="AK58" s="164">
        <v>57.3</v>
      </c>
      <c r="AL58" s="164">
        <v>0</v>
      </c>
      <c r="AM58" s="164">
        <v>0</v>
      </c>
      <c r="AN58" s="164">
        <v>0</v>
      </c>
      <c r="AO58" s="164">
        <v>0</v>
      </c>
      <c r="AP58" s="164">
        <v>0</v>
      </c>
      <c r="AQ58" s="164">
        <v>0</v>
      </c>
      <c r="AR58" s="164">
        <v>0</v>
      </c>
      <c r="AS58" s="164">
        <v>0</v>
      </c>
      <c r="AT58" s="164">
        <v>0</v>
      </c>
      <c r="AU58" s="164">
        <v>203.05</v>
      </c>
      <c r="AV58" s="164">
        <v>0</v>
      </c>
      <c r="AW58" s="164">
        <v>436.4</v>
      </c>
      <c r="AX58" s="164" t="s">
        <v>224</v>
      </c>
      <c r="AY58" s="164" t="s">
        <v>380</v>
      </c>
      <c r="AZ58" s="164" t="s">
        <v>381</v>
      </c>
      <c r="BA58" s="164">
        <v>0</v>
      </c>
      <c r="BB58" s="164" t="s">
        <v>419</v>
      </c>
    </row>
    <row r="59" spans="1:54">
      <c r="A59" s="164" t="s">
        <v>420</v>
      </c>
      <c r="B59" s="164" t="s">
        <v>421</v>
      </c>
      <c r="C59" s="164" t="s">
        <v>422</v>
      </c>
      <c r="D59" s="164" t="s">
        <v>48</v>
      </c>
      <c r="E59" s="164" t="s">
        <v>218</v>
      </c>
      <c r="F59" s="164" t="s">
        <v>219</v>
      </c>
      <c r="G59" s="164" t="s">
        <v>220</v>
      </c>
      <c r="H59" s="164" t="s">
        <v>221</v>
      </c>
      <c r="I59" s="164" t="s">
        <v>222</v>
      </c>
      <c r="J59" s="164" t="s">
        <v>220</v>
      </c>
      <c r="K59" s="164" t="s">
        <v>220</v>
      </c>
      <c r="L59" s="164" t="s">
        <v>220</v>
      </c>
      <c r="M59" s="164" t="s">
        <v>223</v>
      </c>
      <c r="N59" s="164" t="s">
        <v>93</v>
      </c>
      <c r="O59" s="164">
        <v>277</v>
      </c>
      <c r="P59" s="164">
        <v>0</v>
      </c>
      <c r="Q59" s="164">
        <v>0</v>
      </c>
      <c r="R59" s="164">
        <v>0</v>
      </c>
      <c r="S59" s="164">
        <v>0</v>
      </c>
      <c r="T59" s="164">
        <v>0</v>
      </c>
      <c r="U59" s="164">
        <v>0</v>
      </c>
      <c r="V59" s="164">
        <v>13.85</v>
      </c>
      <c r="W59" s="164">
        <v>290.85000000000002</v>
      </c>
      <c r="X59" s="164">
        <v>277</v>
      </c>
      <c r="Y59" s="164">
        <v>22</v>
      </c>
      <c r="Z59" s="164">
        <v>60.94</v>
      </c>
      <c r="AA59" s="164">
        <v>5.35</v>
      </c>
      <c r="AB59" s="164">
        <v>66.290000000000006</v>
      </c>
      <c r="AC59" s="164">
        <v>11.93</v>
      </c>
      <c r="AD59" s="164">
        <v>0</v>
      </c>
      <c r="AE59" s="164">
        <v>277</v>
      </c>
      <c r="AF59" s="164">
        <v>0</v>
      </c>
      <c r="AG59" s="164">
        <v>0</v>
      </c>
      <c r="AH59" s="164">
        <v>0.28000000000000003</v>
      </c>
      <c r="AI59" s="164">
        <v>13.85</v>
      </c>
      <c r="AJ59" s="164">
        <v>0</v>
      </c>
      <c r="AK59" s="164">
        <v>26.06</v>
      </c>
      <c r="AL59" s="164">
        <v>0</v>
      </c>
      <c r="AM59" s="164">
        <v>0</v>
      </c>
      <c r="AN59" s="164">
        <v>0</v>
      </c>
      <c r="AO59" s="164">
        <v>0</v>
      </c>
      <c r="AP59" s="164">
        <v>0</v>
      </c>
      <c r="AQ59" s="164">
        <v>0</v>
      </c>
      <c r="AR59" s="164">
        <v>0</v>
      </c>
      <c r="AS59" s="164">
        <v>0</v>
      </c>
      <c r="AT59" s="164">
        <v>0</v>
      </c>
      <c r="AU59" s="164">
        <v>92.35</v>
      </c>
      <c r="AV59" s="164">
        <v>0</v>
      </c>
      <c r="AW59" s="164">
        <v>198.5</v>
      </c>
      <c r="AX59" s="164" t="s">
        <v>224</v>
      </c>
      <c r="AY59" s="164" t="s">
        <v>380</v>
      </c>
      <c r="AZ59" s="164" t="s">
        <v>381</v>
      </c>
      <c r="BA59" s="164">
        <v>0</v>
      </c>
      <c r="BB59" s="164" t="s">
        <v>396</v>
      </c>
    </row>
    <row r="60" spans="1:54">
      <c r="A60" s="164" t="s">
        <v>423</v>
      </c>
      <c r="B60" s="164" t="s">
        <v>424</v>
      </c>
      <c r="C60" s="164" t="s">
        <v>425</v>
      </c>
      <c r="D60" s="164" t="s">
        <v>48</v>
      </c>
      <c r="E60" s="164" t="s">
        <v>218</v>
      </c>
      <c r="F60" s="164" t="s">
        <v>219</v>
      </c>
      <c r="G60" s="164" t="s">
        <v>220</v>
      </c>
      <c r="H60" s="164" t="s">
        <v>221</v>
      </c>
      <c r="I60" s="164" t="s">
        <v>222</v>
      </c>
      <c r="J60" s="164" t="s">
        <v>220</v>
      </c>
      <c r="K60" s="164" t="s">
        <v>220</v>
      </c>
      <c r="L60" s="164" t="s">
        <v>220</v>
      </c>
      <c r="M60" s="164" t="s">
        <v>223</v>
      </c>
      <c r="N60" s="164" t="s">
        <v>93</v>
      </c>
      <c r="O60" s="164">
        <v>82</v>
      </c>
      <c r="P60" s="164">
        <v>0</v>
      </c>
      <c r="Q60" s="164">
        <v>0</v>
      </c>
      <c r="R60" s="164">
        <v>0</v>
      </c>
      <c r="S60" s="164">
        <v>0</v>
      </c>
      <c r="T60" s="164">
        <v>0</v>
      </c>
      <c r="U60" s="164">
        <v>0</v>
      </c>
      <c r="V60" s="164">
        <v>4.0999999999999996</v>
      </c>
      <c r="W60" s="164">
        <v>86.1</v>
      </c>
      <c r="X60" s="164">
        <v>82</v>
      </c>
      <c r="Y60" s="164">
        <v>22</v>
      </c>
      <c r="Z60" s="164">
        <v>18.04</v>
      </c>
      <c r="AA60" s="164">
        <v>1.58</v>
      </c>
      <c r="AB60" s="164">
        <v>19.62</v>
      </c>
      <c r="AC60" s="164">
        <v>3.53</v>
      </c>
      <c r="AD60" s="164">
        <v>0</v>
      </c>
      <c r="AE60" s="164">
        <v>82</v>
      </c>
      <c r="AF60" s="164">
        <v>0</v>
      </c>
      <c r="AG60" s="164">
        <v>0</v>
      </c>
      <c r="AH60" s="164">
        <v>0.08</v>
      </c>
      <c r="AI60" s="164">
        <v>4.0999999999999996</v>
      </c>
      <c r="AJ60" s="164">
        <v>0</v>
      </c>
      <c r="AK60" s="164">
        <v>7.71</v>
      </c>
      <c r="AL60" s="164">
        <v>0</v>
      </c>
      <c r="AM60" s="164">
        <v>0</v>
      </c>
      <c r="AN60" s="164">
        <v>0</v>
      </c>
      <c r="AO60" s="164">
        <v>0</v>
      </c>
      <c r="AP60" s="164">
        <v>0</v>
      </c>
      <c r="AQ60" s="164">
        <v>0</v>
      </c>
      <c r="AR60" s="164">
        <v>0</v>
      </c>
      <c r="AS60" s="164">
        <v>0</v>
      </c>
      <c r="AT60" s="164">
        <v>0</v>
      </c>
      <c r="AU60" s="164">
        <v>27.33</v>
      </c>
      <c r="AV60" s="164">
        <v>0</v>
      </c>
      <c r="AW60" s="164">
        <v>58.77</v>
      </c>
      <c r="AX60" s="164" t="s">
        <v>224</v>
      </c>
      <c r="AY60" s="164" t="s">
        <v>380</v>
      </c>
      <c r="AZ60" s="164" t="s">
        <v>381</v>
      </c>
      <c r="BA60" s="164">
        <v>0</v>
      </c>
      <c r="BB60" s="164" t="s">
        <v>426</v>
      </c>
    </row>
    <row r="61" spans="1:54">
      <c r="A61" s="164" t="s">
        <v>427</v>
      </c>
      <c r="B61" s="164" t="s">
        <v>428</v>
      </c>
      <c r="C61" s="164" t="s">
        <v>429</v>
      </c>
      <c r="D61" s="164" t="s">
        <v>48</v>
      </c>
      <c r="E61" s="164" t="s">
        <v>218</v>
      </c>
      <c r="F61" s="164" t="s">
        <v>219</v>
      </c>
      <c r="G61" s="164" t="s">
        <v>220</v>
      </c>
      <c r="H61" s="164" t="s">
        <v>221</v>
      </c>
      <c r="I61" s="164" t="s">
        <v>222</v>
      </c>
      <c r="J61" s="164" t="s">
        <v>220</v>
      </c>
      <c r="K61" s="164" t="s">
        <v>220</v>
      </c>
      <c r="L61" s="164" t="s">
        <v>220</v>
      </c>
      <c r="M61" s="164" t="s">
        <v>223</v>
      </c>
      <c r="N61" s="164" t="s">
        <v>93</v>
      </c>
      <c r="O61" s="164">
        <v>294</v>
      </c>
      <c r="P61" s="164">
        <v>0</v>
      </c>
      <c r="Q61" s="164">
        <v>0</v>
      </c>
      <c r="R61" s="164">
        <v>0</v>
      </c>
      <c r="S61" s="164">
        <v>0</v>
      </c>
      <c r="T61" s="164">
        <v>0</v>
      </c>
      <c r="U61" s="164">
        <v>0</v>
      </c>
      <c r="V61" s="164">
        <v>14.7</v>
      </c>
      <c r="W61" s="164">
        <v>308.7</v>
      </c>
      <c r="X61" s="164">
        <v>294</v>
      </c>
      <c r="Y61" s="164">
        <v>22</v>
      </c>
      <c r="Z61" s="164">
        <v>64.680000000000007</v>
      </c>
      <c r="AA61" s="164">
        <v>5.68</v>
      </c>
      <c r="AB61" s="164">
        <v>70.36</v>
      </c>
      <c r="AC61" s="164">
        <v>12.66</v>
      </c>
      <c r="AD61" s="164">
        <v>0</v>
      </c>
      <c r="AE61" s="164">
        <v>294</v>
      </c>
      <c r="AF61" s="164">
        <v>0</v>
      </c>
      <c r="AG61" s="164">
        <v>0</v>
      </c>
      <c r="AH61" s="164">
        <v>0.28999999999999998</v>
      </c>
      <c r="AI61" s="164">
        <v>14.7</v>
      </c>
      <c r="AJ61" s="164">
        <v>0</v>
      </c>
      <c r="AK61" s="164">
        <v>27.65</v>
      </c>
      <c r="AL61" s="164">
        <v>0</v>
      </c>
      <c r="AM61" s="164">
        <v>0</v>
      </c>
      <c r="AN61" s="164">
        <v>0</v>
      </c>
      <c r="AO61" s="164">
        <v>0</v>
      </c>
      <c r="AP61" s="164">
        <v>0</v>
      </c>
      <c r="AQ61" s="164">
        <v>0</v>
      </c>
      <c r="AR61" s="164">
        <v>0</v>
      </c>
      <c r="AS61" s="164">
        <v>0</v>
      </c>
      <c r="AT61" s="164">
        <v>0</v>
      </c>
      <c r="AU61" s="164">
        <v>98.01</v>
      </c>
      <c r="AV61" s="164">
        <v>0</v>
      </c>
      <c r="AW61" s="164">
        <v>210.69</v>
      </c>
      <c r="AX61" s="164" t="s">
        <v>224</v>
      </c>
      <c r="AY61" s="164" t="s">
        <v>380</v>
      </c>
      <c r="AZ61" s="164" t="s">
        <v>381</v>
      </c>
      <c r="BA61" s="164">
        <v>0</v>
      </c>
      <c r="BB61" s="164" t="s">
        <v>430</v>
      </c>
    </row>
    <row r="62" spans="1:54">
      <c r="A62" s="164" t="s">
        <v>431</v>
      </c>
      <c r="B62" s="164" t="s">
        <v>432</v>
      </c>
      <c r="C62" s="164" t="s">
        <v>433</v>
      </c>
      <c r="D62" s="164" t="s">
        <v>48</v>
      </c>
      <c r="E62" s="164" t="s">
        <v>218</v>
      </c>
      <c r="F62" s="164" t="s">
        <v>219</v>
      </c>
      <c r="G62" s="164" t="s">
        <v>220</v>
      </c>
      <c r="H62" s="164" t="s">
        <v>221</v>
      </c>
      <c r="I62" s="164" t="s">
        <v>222</v>
      </c>
      <c r="J62" s="164" t="s">
        <v>220</v>
      </c>
      <c r="K62" s="164" t="s">
        <v>220</v>
      </c>
      <c r="L62" s="164" t="s">
        <v>220</v>
      </c>
      <c r="M62" s="164" t="s">
        <v>223</v>
      </c>
      <c r="N62" s="164" t="s">
        <v>93</v>
      </c>
      <c r="O62" s="164">
        <v>588</v>
      </c>
      <c r="P62" s="164">
        <v>0</v>
      </c>
      <c r="Q62" s="164">
        <v>0</v>
      </c>
      <c r="R62" s="164">
        <v>0</v>
      </c>
      <c r="S62" s="164">
        <v>0</v>
      </c>
      <c r="T62" s="164">
        <v>0</v>
      </c>
      <c r="U62" s="164">
        <v>0</v>
      </c>
      <c r="V62" s="164">
        <v>29.4</v>
      </c>
      <c r="W62" s="164">
        <v>617.4</v>
      </c>
      <c r="X62" s="164">
        <v>588</v>
      </c>
      <c r="Y62" s="164">
        <v>22</v>
      </c>
      <c r="Z62" s="164">
        <v>129.36000000000001</v>
      </c>
      <c r="AA62" s="164">
        <v>11.36</v>
      </c>
      <c r="AB62" s="164">
        <v>140.72</v>
      </c>
      <c r="AC62" s="164">
        <v>25.32</v>
      </c>
      <c r="AD62" s="164">
        <v>0</v>
      </c>
      <c r="AE62" s="164">
        <v>588</v>
      </c>
      <c r="AF62" s="164">
        <v>0</v>
      </c>
      <c r="AG62" s="164">
        <v>0</v>
      </c>
      <c r="AH62" s="164">
        <v>0.59</v>
      </c>
      <c r="AI62" s="164">
        <v>29.4</v>
      </c>
      <c r="AJ62" s="164">
        <v>0</v>
      </c>
      <c r="AK62" s="164">
        <v>55.31</v>
      </c>
      <c r="AL62" s="164">
        <v>0</v>
      </c>
      <c r="AM62" s="164">
        <v>0</v>
      </c>
      <c r="AN62" s="164">
        <v>0</v>
      </c>
      <c r="AO62" s="164">
        <v>0</v>
      </c>
      <c r="AP62" s="164">
        <v>0</v>
      </c>
      <c r="AQ62" s="164">
        <v>0</v>
      </c>
      <c r="AR62" s="164">
        <v>0</v>
      </c>
      <c r="AS62" s="164">
        <v>0</v>
      </c>
      <c r="AT62" s="164">
        <v>0</v>
      </c>
      <c r="AU62" s="164">
        <v>196.03</v>
      </c>
      <c r="AV62" s="164">
        <v>0</v>
      </c>
      <c r="AW62" s="164">
        <v>421.37</v>
      </c>
      <c r="AX62" s="164" t="s">
        <v>224</v>
      </c>
      <c r="AY62" s="164" t="s">
        <v>380</v>
      </c>
      <c r="AZ62" s="164" t="s">
        <v>381</v>
      </c>
      <c r="BA62" s="164">
        <v>0</v>
      </c>
      <c r="BB62" s="164" t="s">
        <v>230</v>
      </c>
    </row>
    <row r="63" spans="1:54">
      <c r="A63" s="164" t="s">
        <v>434</v>
      </c>
      <c r="B63" s="164" t="s">
        <v>435</v>
      </c>
      <c r="C63" s="164" t="s">
        <v>436</v>
      </c>
      <c r="D63" s="164" t="s">
        <v>48</v>
      </c>
      <c r="E63" s="164" t="s">
        <v>218</v>
      </c>
      <c r="F63" s="164" t="s">
        <v>219</v>
      </c>
      <c r="G63" s="164" t="s">
        <v>220</v>
      </c>
      <c r="H63" s="164" t="s">
        <v>221</v>
      </c>
      <c r="I63" s="164" t="s">
        <v>222</v>
      </c>
      <c r="J63" s="164" t="s">
        <v>220</v>
      </c>
      <c r="K63" s="164" t="s">
        <v>220</v>
      </c>
      <c r="L63" s="164" t="s">
        <v>220</v>
      </c>
      <c r="M63" s="164" t="s">
        <v>223</v>
      </c>
      <c r="N63" s="164" t="s">
        <v>93</v>
      </c>
      <c r="O63" s="164">
        <v>71</v>
      </c>
      <c r="P63" s="164">
        <v>0</v>
      </c>
      <c r="Q63" s="164">
        <v>0</v>
      </c>
      <c r="R63" s="164">
        <v>0</v>
      </c>
      <c r="S63" s="164">
        <v>0</v>
      </c>
      <c r="T63" s="164">
        <v>0</v>
      </c>
      <c r="U63" s="164">
        <v>0</v>
      </c>
      <c r="V63" s="164">
        <v>3.55</v>
      </c>
      <c r="W63" s="164">
        <v>74.55</v>
      </c>
      <c r="X63" s="164">
        <v>71</v>
      </c>
      <c r="Y63" s="164">
        <v>22</v>
      </c>
      <c r="Z63" s="164">
        <v>15.62</v>
      </c>
      <c r="AA63" s="164">
        <v>1.37</v>
      </c>
      <c r="AB63" s="164">
        <v>16.989999999999998</v>
      </c>
      <c r="AC63" s="164">
        <v>3.06</v>
      </c>
      <c r="AD63" s="164">
        <v>0</v>
      </c>
      <c r="AE63" s="164">
        <v>71</v>
      </c>
      <c r="AF63" s="164">
        <v>0</v>
      </c>
      <c r="AG63" s="164">
        <v>0</v>
      </c>
      <c r="AH63" s="164">
        <v>7.0000000000000007E-2</v>
      </c>
      <c r="AI63" s="164">
        <v>3.55</v>
      </c>
      <c r="AJ63" s="164">
        <v>0</v>
      </c>
      <c r="AK63" s="164">
        <v>6.68</v>
      </c>
      <c r="AL63" s="164">
        <v>0</v>
      </c>
      <c r="AM63" s="164">
        <v>0</v>
      </c>
      <c r="AN63" s="164">
        <v>0</v>
      </c>
      <c r="AO63" s="164">
        <v>0</v>
      </c>
      <c r="AP63" s="164">
        <v>0</v>
      </c>
      <c r="AQ63" s="164">
        <v>0</v>
      </c>
      <c r="AR63" s="164">
        <v>0</v>
      </c>
      <c r="AS63" s="164">
        <v>0</v>
      </c>
      <c r="AT63" s="164">
        <v>0</v>
      </c>
      <c r="AU63" s="164">
        <v>23.67</v>
      </c>
      <c r="AV63" s="164">
        <v>0</v>
      </c>
      <c r="AW63" s="164">
        <v>50.88</v>
      </c>
      <c r="AX63" s="164" t="s">
        <v>224</v>
      </c>
      <c r="AY63" s="164" t="s">
        <v>380</v>
      </c>
      <c r="AZ63" s="164" t="s">
        <v>381</v>
      </c>
      <c r="BA63" s="164">
        <v>0</v>
      </c>
      <c r="BB63" s="164" t="s">
        <v>437</v>
      </c>
    </row>
    <row r="64" spans="1:54">
      <c r="A64" s="164" t="s">
        <v>438</v>
      </c>
      <c r="B64" s="164" t="s">
        <v>439</v>
      </c>
      <c r="C64" s="164" t="s">
        <v>440</v>
      </c>
      <c r="D64" s="164" t="s">
        <v>48</v>
      </c>
      <c r="E64" s="164" t="s">
        <v>218</v>
      </c>
      <c r="F64" s="164" t="s">
        <v>219</v>
      </c>
      <c r="G64" s="164" t="s">
        <v>220</v>
      </c>
      <c r="H64" s="164" t="s">
        <v>221</v>
      </c>
      <c r="I64" s="164" t="s">
        <v>222</v>
      </c>
      <c r="J64" s="164" t="s">
        <v>220</v>
      </c>
      <c r="K64" s="164" t="s">
        <v>220</v>
      </c>
      <c r="L64" s="164" t="s">
        <v>220</v>
      </c>
      <c r="M64" s="164" t="s">
        <v>223</v>
      </c>
      <c r="N64" s="164" t="s">
        <v>93</v>
      </c>
      <c r="O64" s="164">
        <v>546</v>
      </c>
      <c r="P64" s="164">
        <v>0</v>
      </c>
      <c r="Q64" s="164">
        <v>0</v>
      </c>
      <c r="R64" s="164">
        <v>0</v>
      </c>
      <c r="S64" s="164">
        <v>0</v>
      </c>
      <c r="T64" s="164">
        <v>0</v>
      </c>
      <c r="U64" s="164">
        <v>0</v>
      </c>
      <c r="V64" s="164">
        <v>27.3</v>
      </c>
      <c r="W64" s="164">
        <v>573.29999999999995</v>
      </c>
      <c r="X64" s="164">
        <v>546</v>
      </c>
      <c r="Y64" s="164">
        <v>22</v>
      </c>
      <c r="Z64" s="164">
        <v>120.12</v>
      </c>
      <c r="AA64" s="164">
        <v>10.55</v>
      </c>
      <c r="AB64" s="164">
        <v>130.66999999999999</v>
      </c>
      <c r="AC64" s="164">
        <v>23.52</v>
      </c>
      <c r="AD64" s="164">
        <v>0</v>
      </c>
      <c r="AE64" s="164">
        <v>546</v>
      </c>
      <c r="AF64" s="164">
        <v>0</v>
      </c>
      <c r="AG64" s="164">
        <v>0</v>
      </c>
      <c r="AH64" s="164">
        <v>0.55000000000000004</v>
      </c>
      <c r="AI64" s="164">
        <v>27.3</v>
      </c>
      <c r="AJ64" s="164">
        <v>0</v>
      </c>
      <c r="AK64" s="164">
        <v>51.37</v>
      </c>
      <c r="AL64" s="164">
        <v>0</v>
      </c>
      <c r="AM64" s="164">
        <v>0</v>
      </c>
      <c r="AN64" s="164">
        <v>0</v>
      </c>
      <c r="AO64" s="164">
        <v>0</v>
      </c>
      <c r="AP64" s="164">
        <v>0</v>
      </c>
      <c r="AQ64" s="164">
        <v>0</v>
      </c>
      <c r="AR64" s="164">
        <v>0</v>
      </c>
      <c r="AS64" s="164">
        <v>0</v>
      </c>
      <c r="AT64" s="164">
        <v>0</v>
      </c>
      <c r="AU64" s="164">
        <v>182.04</v>
      </c>
      <c r="AV64" s="164">
        <v>0</v>
      </c>
      <c r="AW64" s="164">
        <v>391.26</v>
      </c>
      <c r="AX64" s="164" t="s">
        <v>224</v>
      </c>
      <c r="AY64" s="164" t="s">
        <v>380</v>
      </c>
      <c r="AZ64" s="164" t="s">
        <v>381</v>
      </c>
      <c r="BA64" s="164">
        <v>0</v>
      </c>
      <c r="BB64" s="164" t="s">
        <v>441</v>
      </c>
    </row>
    <row r="65" spans="1:54">
      <c r="A65" s="164" t="s">
        <v>442</v>
      </c>
      <c r="B65" s="164" t="s">
        <v>443</v>
      </c>
      <c r="C65" s="164" t="s">
        <v>444</v>
      </c>
      <c r="D65" s="164" t="s">
        <v>48</v>
      </c>
      <c r="E65" s="164" t="s">
        <v>218</v>
      </c>
      <c r="F65" s="164" t="s">
        <v>219</v>
      </c>
      <c r="G65" s="164" t="s">
        <v>220</v>
      </c>
      <c r="H65" s="164" t="s">
        <v>221</v>
      </c>
      <c r="I65" s="164" t="s">
        <v>222</v>
      </c>
      <c r="J65" s="164" t="s">
        <v>220</v>
      </c>
      <c r="K65" s="164" t="s">
        <v>220</v>
      </c>
      <c r="L65" s="164" t="s">
        <v>220</v>
      </c>
      <c r="M65" s="164" t="s">
        <v>223</v>
      </c>
      <c r="N65" s="164" t="s">
        <v>93</v>
      </c>
      <c r="O65" s="164">
        <v>589</v>
      </c>
      <c r="P65" s="164">
        <v>0</v>
      </c>
      <c r="Q65" s="164">
        <v>0</v>
      </c>
      <c r="R65" s="164">
        <v>0</v>
      </c>
      <c r="S65" s="164">
        <v>0</v>
      </c>
      <c r="T65" s="164">
        <v>0</v>
      </c>
      <c r="U65" s="164">
        <v>0</v>
      </c>
      <c r="V65" s="164">
        <v>29.45</v>
      </c>
      <c r="W65" s="164">
        <v>618.45000000000005</v>
      </c>
      <c r="X65" s="164">
        <v>589</v>
      </c>
      <c r="Y65" s="164">
        <v>22</v>
      </c>
      <c r="Z65" s="164">
        <v>129.58000000000001</v>
      </c>
      <c r="AA65" s="164">
        <v>11.38</v>
      </c>
      <c r="AB65" s="164">
        <v>140.96</v>
      </c>
      <c r="AC65" s="164">
        <v>25.37</v>
      </c>
      <c r="AD65" s="164">
        <v>0</v>
      </c>
      <c r="AE65" s="164">
        <v>589</v>
      </c>
      <c r="AF65" s="164">
        <v>0</v>
      </c>
      <c r="AG65" s="164">
        <v>0</v>
      </c>
      <c r="AH65" s="164">
        <v>0.59</v>
      </c>
      <c r="AI65" s="164">
        <v>29.45</v>
      </c>
      <c r="AJ65" s="164">
        <v>0</v>
      </c>
      <c r="AK65" s="164">
        <v>55.41</v>
      </c>
      <c r="AL65" s="164">
        <v>0</v>
      </c>
      <c r="AM65" s="164">
        <v>0</v>
      </c>
      <c r="AN65" s="164">
        <v>0</v>
      </c>
      <c r="AO65" s="164">
        <v>0</v>
      </c>
      <c r="AP65" s="164">
        <v>0</v>
      </c>
      <c r="AQ65" s="164">
        <v>0</v>
      </c>
      <c r="AR65" s="164">
        <v>0</v>
      </c>
      <c r="AS65" s="164">
        <v>0</v>
      </c>
      <c r="AT65" s="164">
        <v>0</v>
      </c>
      <c r="AU65" s="164">
        <v>196.37</v>
      </c>
      <c r="AV65" s="164">
        <v>0</v>
      </c>
      <c r="AW65" s="164">
        <v>422.08</v>
      </c>
      <c r="AX65" s="164" t="s">
        <v>224</v>
      </c>
      <c r="AY65" s="164" t="s">
        <v>380</v>
      </c>
      <c r="AZ65" s="164" t="s">
        <v>381</v>
      </c>
      <c r="BA65" s="164">
        <v>0</v>
      </c>
      <c r="BB65" s="164" t="s">
        <v>445</v>
      </c>
    </row>
    <row r="66" spans="1:54">
      <c r="A66" s="164" t="s">
        <v>446</v>
      </c>
      <c r="B66" s="164" t="s">
        <v>447</v>
      </c>
      <c r="C66" s="164" t="s">
        <v>448</v>
      </c>
      <c r="D66" s="164" t="s">
        <v>48</v>
      </c>
      <c r="E66" s="164" t="s">
        <v>218</v>
      </c>
      <c r="F66" s="164" t="s">
        <v>219</v>
      </c>
      <c r="G66" s="164" t="s">
        <v>220</v>
      </c>
      <c r="H66" s="164" t="s">
        <v>221</v>
      </c>
      <c r="I66" s="164" t="s">
        <v>222</v>
      </c>
      <c r="J66" s="164" t="s">
        <v>220</v>
      </c>
      <c r="K66" s="164" t="s">
        <v>220</v>
      </c>
      <c r="L66" s="164" t="s">
        <v>220</v>
      </c>
      <c r="M66" s="164" t="s">
        <v>223</v>
      </c>
      <c r="N66" s="164" t="s">
        <v>93</v>
      </c>
      <c r="O66" s="164">
        <v>229</v>
      </c>
      <c r="P66" s="164">
        <v>0</v>
      </c>
      <c r="Q66" s="164">
        <v>0</v>
      </c>
      <c r="R66" s="164">
        <v>0</v>
      </c>
      <c r="S66" s="164">
        <v>0</v>
      </c>
      <c r="T66" s="164">
        <v>0</v>
      </c>
      <c r="U66" s="164">
        <v>0</v>
      </c>
      <c r="V66" s="164">
        <v>11.45</v>
      </c>
      <c r="W66" s="164">
        <v>240.45</v>
      </c>
      <c r="X66" s="164">
        <v>229</v>
      </c>
      <c r="Y66" s="164">
        <v>22</v>
      </c>
      <c r="Z66" s="164">
        <v>50.38</v>
      </c>
      <c r="AA66" s="164">
        <v>4.42</v>
      </c>
      <c r="AB66" s="164">
        <v>54.8</v>
      </c>
      <c r="AC66" s="164">
        <v>9.8699999999999992</v>
      </c>
      <c r="AD66" s="164">
        <v>0</v>
      </c>
      <c r="AE66" s="164">
        <v>229</v>
      </c>
      <c r="AF66" s="164">
        <v>0</v>
      </c>
      <c r="AG66" s="164">
        <v>0</v>
      </c>
      <c r="AH66" s="164">
        <v>0.23</v>
      </c>
      <c r="AI66" s="164">
        <v>11.45</v>
      </c>
      <c r="AJ66" s="164">
        <v>0</v>
      </c>
      <c r="AK66" s="164">
        <v>21.55</v>
      </c>
      <c r="AL66" s="164">
        <v>0</v>
      </c>
      <c r="AM66" s="164">
        <v>0</v>
      </c>
      <c r="AN66" s="164">
        <v>0</v>
      </c>
      <c r="AO66" s="164">
        <v>0</v>
      </c>
      <c r="AP66" s="164">
        <v>0</v>
      </c>
      <c r="AQ66" s="164">
        <v>0</v>
      </c>
      <c r="AR66" s="164">
        <v>0</v>
      </c>
      <c r="AS66" s="164">
        <v>0</v>
      </c>
      <c r="AT66" s="164">
        <v>0</v>
      </c>
      <c r="AU66" s="164">
        <v>76.349999999999994</v>
      </c>
      <c r="AV66" s="164">
        <v>0</v>
      </c>
      <c r="AW66" s="164">
        <v>164.1</v>
      </c>
      <c r="AX66" s="164" t="s">
        <v>224</v>
      </c>
      <c r="AY66" s="164" t="s">
        <v>380</v>
      </c>
      <c r="AZ66" s="164" t="s">
        <v>381</v>
      </c>
      <c r="BA66" s="164">
        <v>0</v>
      </c>
      <c r="BB66" s="164" t="s">
        <v>449</v>
      </c>
    </row>
    <row r="67" spans="1:54">
      <c r="A67" s="164" t="s">
        <v>450</v>
      </c>
      <c r="B67" s="164" t="s">
        <v>451</v>
      </c>
      <c r="C67" s="164" t="s">
        <v>452</v>
      </c>
      <c r="D67" s="164" t="s">
        <v>48</v>
      </c>
      <c r="E67" s="164" t="s">
        <v>218</v>
      </c>
      <c r="F67" s="164" t="s">
        <v>219</v>
      </c>
      <c r="G67" s="164" t="s">
        <v>220</v>
      </c>
      <c r="H67" s="164" t="s">
        <v>221</v>
      </c>
      <c r="I67" s="164" t="s">
        <v>222</v>
      </c>
      <c r="J67" s="164" t="s">
        <v>220</v>
      </c>
      <c r="K67" s="164" t="s">
        <v>220</v>
      </c>
      <c r="L67" s="164" t="s">
        <v>220</v>
      </c>
      <c r="M67" s="164" t="s">
        <v>223</v>
      </c>
      <c r="N67" s="164" t="s">
        <v>93</v>
      </c>
      <c r="O67" s="164">
        <v>149</v>
      </c>
      <c r="P67" s="164">
        <v>0</v>
      </c>
      <c r="Q67" s="164">
        <v>0</v>
      </c>
      <c r="R67" s="164">
        <v>0</v>
      </c>
      <c r="S67" s="164">
        <v>0</v>
      </c>
      <c r="T67" s="164">
        <v>0</v>
      </c>
      <c r="U67" s="164">
        <v>0</v>
      </c>
      <c r="V67" s="164">
        <v>7.45</v>
      </c>
      <c r="W67" s="164">
        <v>156.44999999999999</v>
      </c>
      <c r="X67" s="164">
        <v>149</v>
      </c>
      <c r="Y67" s="164">
        <v>22</v>
      </c>
      <c r="Z67" s="164">
        <v>32.78</v>
      </c>
      <c r="AA67" s="164">
        <v>2.88</v>
      </c>
      <c r="AB67" s="164">
        <v>35.659999999999997</v>
      </c>
      <c r="AC67" s="164">
        <v>6.42</v>
      </c>
      <c r="AD67" s="164">
        <v>0</v>
      </c>
      <c r="AE67" s="164">
        <v>149</v>
      </c>
      <c r="AF67" s="164">
        <v>0</v>
      </c>
      <c r="AG67" s="164">
        <v>0</v>
      </c>
      <c r="AH67" s="164">
        <v>0.15</v>
      </c>
      <c r="AI67" s="164">
        <v>7.45</v>
      </c>
      <c r="AJ67" s="164">
        <v>0</v>
      </c>
      <c r="AK67" s="164">
        <v>14.02</v>
      </c>
      <c r="AL67" s="164">
        <v>0</v>
      </c>
      <c r="AM67" s="164">
        <v>0</v>
      </c>
      <c r="AN67" s="164">
        <v>0</v>
      </c>
      <c r="AO67" s="164">
        <v>0</v>
      </c>
      <c r="AP67" s="164">
        <v>0</v>
      </c>
      <c r="AQ67" s="164">
        <v>0</v>
      </c>
      <c r="AR67" s="164">
        <v>0</v>
      </c>
      <c r="AS67" s="164">
        <v>0</v>
      </c>
      <c r="AT67" s="164">
        <v>0</v>
      </c>
      <c r="AU67" s="164">
        <v>49.68</v>
      </c>
      <c r="AV67" s="164">
        <v>0</v>
      </c>
      <c r="AW67" s="164">
        <v>106.77</v>
      </c>
      <c r="AX67" s="164" t="s">
        <v>224</v>
      </c>
      <c r="AY67" s="164" t="s">
        <v>380</v>
      </c>
      <c r="AZ67" s="164" t="s">
        <v>381</v>
      </c>
      <c r="BA67" s="164">
        <v>0</v>
      </c>
      <c r="BB67" s="164" t="s">
        <v>453</v>
      </c>
    </row>
    <row r="68" spans="1:54">
      <c r="A68" s="164" t="s">
        <v>454</v>
      </c>
      <c r="B68" s="164" t="s">
        <v>455</v>
      </c>
      <c r="C68" s="164" t="s">
        <v>456</v>
      </c>
      <c r="D68" s="164" t="s">
        <v>48</v>
      </c>
      <c r="E68" s="164" t="s">
        <v>218</v>
      </c>
      <c r="F68" s="164" t="s">
        <v>219</v>
      </c>
      <c r="G68" s="164" t="s">
        <v>220</v>
      </c>
      <c r="H68" s="164" t="s">
        <v>221</v>
      </c>
      <c r="I68" s="164" t="s">
        <v>222</v>
      </c>
      <c r="J68" s="164" t="s">
        <v>220</v>
      </c>
      <c r="K68" s="164" t="s">
        <v>220</v>
      </c>
      <c r="L68" s="164" t="s">
        <v>220</v>
      </c>
      <c r="M68" s="164" t="s">
        <v>223</v>
      </c>
      <c r="N68" s="164" t="s">
        <v>93</v>
      </c>
      <c r="O68" s="164">
        <v>458</v>
      </c>
      <c r="P68" s="164">
        <v>0</v>
      </c>
      <c r="Q68" s="164">
        <v>0</v>
      </c>
      <c r="R68" s="164">
        <v>0</v>
      </c>
      <c r="S68" s="164">
        <v>0</v>
      </c>
      <c r="T68" s="164">
        <v>0</v>
      </c>
      <c r="U68" s="164">
        <v>0</v>
      </c>
      <c r="V68" s="164">
        <v>22.9</v>
      </c>
      <c r="W68" s="164">
        <v>480.9</v>
      </c>
      <c r="X68" s="164">
        <v>458</v>
      </c>
      <c r="Y68" s="164">
        <v>22</v>
      </c>
      <c r="Z68" s="164">
        <v>100.76</v>
      </c>
      <c r="AA68" s="164">
        <v>8.85</v>
      </c>
      <c r="AB68" s="164">
        <v>109.61</v>
      </c>
      <c r="AC68" s="164">
        <v>19.73</v>
      </c>
      <c r="AD68" s="164">
        <v>0</v>
      </c>
      <c r="AE68" s="164">
        <v>458</v>
      </c>
      <c r="AF68" s="164">
        <v>0</v>
      </c>
      <c r="AG68" s="164">
        <v>0</v>
      </c>
      <c r="AH68" s="164">
        <v>0.46</v>
      </c>
      <c r="AI68" s="164">
        <v>22.9</v>
      </c>
      <c r="AJ68" s="164">
        <v>0</v>
      </c>
      <c r="AK68" s="164">
        <v>43.09</v>
      </c>
      <c r="AL68" s="164">
        <v>0</v>
      </c>
      <c r="AM68" s="164">
        <v>0</v>
      </c>
      <c r="AN68" s="164">
        <v>0</v>
      </c>
      <c r="AO68" s="164">
        <v>0</v>
      </c>
      <c r="AP68" s="164">
        <v>0</v>
      </c>
      <c r="AQ68" s="164">
        <v>0</v>
      </c>
      <c r="AR68" s="164">
        <v>0</v>
      </c>
      <c r="AS68" s="164">
        <v>0</v>
      </c>
      <c r="AT68" s="164">
        <v>0</v>
      </c>
      <c r="AU68" s="164">
        <v>152.69999999999999</v>
      </c>
      <c r="AV68" s="164">
        <v>0</v>
      </c>
      <c r="AW68" s="164">
        <v>328.2</v>
      </c>
      <c r="AX68" s="164" t="s">
        <v>224</v>
      </c>
      <c r="AY68" s="164" t="s">
        <v>380</v>
      </c>
      <c r="AZ68" s="164" t="s">
        <v>381</v>
      </c>
      <c r="BA68" s="164">
        <v>0</v>
      </c>
      <c r="BB68" s="164" t="s">
        <v>457</v>
      </c>
    </row>
    <row r="69" spans="1:54">
      <c r="A69" s="164" t="s">
        <v>458</v>
      </c>
      <c r="B69" s="164" t="s">
        <v>459</v>
      </c>
      <c r="C69" s="164" t="s">
        <v>460</v>
      </c>
      <c r="D69" s="164" t="s">
        <v>48</v>
      </c>
      <c r="E69" s="164" t="s">
        <v>218</v>
      </c>
      <c r="F69" s="164" t="s">
        <v>219</v>
      </c>
      <c r="G69" s="164" t="s">
        <v>220</v>
      </c>
      <c r="H69" s="164" t="s">
        <v>221</v>
      </c>
      <c r="I69" s="164" t="s">
        <v>222</v>
      </c>
      <c r="J69" s="164" t="s">
        <v>220</v>
      </c>
      <c r="K69" s="164" t="s">
        <v>220</v>
      </c>
      <c r="L69" s="164" t="s">
        <v>220</v>
      </c>
      <c r="M69" s="164" t="s">
        <v>223</v>
      </c>
      <c r="N69" s="164" t="s">
        <v>93</v>
      </c>
      <c r="O69" s="164">
        <v>447</v>
      </c>
      <c r="P69" s="164">
        <v>0</v>
      </c>
      <c r="Q69" s="164">
        <v>0</v>
      </c>
      <c r="R69" s="164">
        <v>0</v>
      </c>
      <c r="S69" s="164">
        <v>0</v>
      </c>
      <c r="T69" s="164">
        <v>0</v>
      </c>
      <c r="U69" s="164">
        <v>0</v>
      </c>
      <c r="V69" s="164">
        <v>22.35</v>
      </c>
      <c r="W69" s="164">
        <v>469.35</v>
      </c>
      <c r="X69" s="164">
        <v>447</v>
      </c>
      <c r="Y69" s="164">
        <v>22</v>
      </c>
      <c r="Z69" s="164">
        <v>98.34</v>
      </c>
      <c r="AA69" s="164">
        <v>8.64</v>
      </c>
      <c r="AB69" s="164">
        <v>106.98</v>
      </c>
      <c r="AC69" s="164">
        <v>19.260000000000002</v>
      </c>
      <c r="AD69" s="164">
        <v>0</v>
      </c>
      <c r="AE69" s="164">
        <v>447</v>
      </c>
      <c r="AF69" s="164">
        <v>0</v>
      </c>
      <c r="AG69" s="164">
        <v>0</v>
      </c>
      <c r="AH69" s="164">
        <v>0.45</v>
      </c>
      <c r="AI69" s="164">
        <v>22.35</v>
      </c>
      <c r="AJ69" s="164">
        <v>0</v>
      </c>
      <c r="AK69" s="164">
        <v>42.06</v>
      </c>
      <c r="AL69" s="164">
        <v>0</v>
      </c>
      <c r="AM69" s="164">
        <v>0</v>
      </c>
      <c r="AN69" s="164">
        <v>0</v>
      </c>
      <c r="AO69" s="164">
        <v>0</v>
      </c>
      <c r="AP69" s="164">
        <v>0</v>
      </c>
      <c r="AQ69" s="164">
        <v>0</v>
      </c>
      <c r="AR69" s="164">
        <v>0</v>
      </c>
      <c r="AS69" s="164">
        <v>0</v>
      </c>
      <c r="AT69" s="164">
        <v>0</v>
      </c>
      <c r="AU69" s="164">
        <v>149.04</v>
      </c>
      <c r="AV69" s="164">
        <v>0</v>
      </c>
      <c r="AW69" s="164">
        <v>320.31</v>
      </c>
      <c r="AX69" s="164" t="s">
        <v>224</v>
      </c>
      <c r="AY69" s="164" t="s">
        <v>380</v>
      </c>
      <c r="AZ69" s="164" t="s">
        <v>381</v>
      </c>
      <c r="BA69" s="164">
        <v>0</v>
      </c>
      <c r="BB69" s="164" t="s">
        <v>461</v>
      </c>
    </row>
    <row r="70" spans="1:54">
      <c r="A70" s="164" t="s">
        <v>462</v>
      </c>
      <c r="B70" s="164" t="s">
        <v>463</v>
      </c>
      <c r="C70" s="164" t="s">
        <v>464</v>
      </c>
      <c r="D70" s="164" t="s">
        <v>48</v>
      </c>
      <c r="E70" s="164" t="s">
        <v>218</v>
      </c>
      <c r="F70" s="164" t="s">
        <v>219</v>
      </c>
      <c r="G70" s="164" t="s">
        <v>220</v>
      </c>
      <c r="H70" s="164" t="s">
        <v>221</v>
      </c>
      <c r="I70" s="164" t="s">
        <v>222</v>
      </c>
      <c r="J70" s="164" t="s">
        <v>220</v>
      </c>
      <c r="K70" s="164" t="s">
        <v>220</v>
      </c>
      <c r="L70" s="164" t="s">
        <v>220</v>
      </c>
      <c r="M70" s="164" t="s">
        <v>223</v>
      </c>
      <c r="N70" s="164" t="s">
        <v>93</v>
      </c>
      <c r="O70" s="164">
        <v>797</v>
      </c>
      <c r="P70" s="164">
        <v>0</v>
      </c>
      <c r="Q70" s="164">
        <v>0</v>
      </c>
      <c r="R70" s="164">
        <v>0</v>
      </c>
      <c r="S70" s="164">
        <v>0</v>
      </c>
      <c r="T70" s="164">
        <v>0</v>
      </c>
      <c r="U70" s="164">
        <v>0</v>
      </c>
      <c r="V70" s="164">
        <v>39.85</v>
      </c>
      <c r="W70" s="164">
        <v>836.85</v>
      </c>
      <c r="X70" s="164">
        <v>797</v>
      </c>
      <c r="Y70" s="164">
        <v>22</v>
      </c>
      <c r="Z70" s="164">
        <v>175.34</v>
      </c>
      <c r="AA70" s="164">
        <v>15.4</v>
      </c>
      <c r="AB70" s="164">
        <v>190.74</v>
      </c>
      <c r="AC70" s="164">
        <v>34.33</v>
      </c>
      <c r="AD70" s="164">
        <v>0</v>
      </c>
      <c r="AE70" s="164">
        <v>797</v>
      </c>
      <c r="AF70" s="164">
        <v>0</v>
      </c>
      <c r="AG70" s="164">
        <v>0</v>
      </c>
      <c r="AH70" s="164">
        <v>0.8</v>
      </c>
      <c r="AI70" s="164">
        <v>39.85</v>
      </c>
      <c r="AJ70" s="164">
        <v>0</v>
      </c>
      <c r="AK70" s="164">
        <v>74.98</v>
      </c>
      <c r="AL70" s="164">
        <v>0</v>
      </c>
      <c r="AM70" s="164">
        <v>0</v>
      </c>
      <c r="AN70" s="164">
        <v>0</v>
      </c>
      <c r="AO70" s="164">
        <v>0</v>
      </c>
      <c r="AP70" s="164">
        <v>0</v>
      </c>
      <c r="AQ70" s="164">
        <v>0</v>
      </c>
      <c r="AR70" s="164">
        <v>0</v>
      </c>
      <c r="AS70" s="164">
        <v>0</v>
      </c>
      <c r="AT70" s="164">
        <v>0</v>
      </c>
      <c r="AU70" s="164">
        <v>265.72000000000003</v>
      </c>
      <c r="AV70" s="164">
        <v>0</v>
      </c>
      <c r="AW70" s="164">
        <v>571.13</v>
      </c>
      <c r="AX70" s="164" t="s">
        <v>224</v>
      </c>
      <c r="AY70" s="164" t="s">
        <v>380</v>
      </c>
      <c r="AZ70" s="164" t="s">
        <v>381</v>
      </c>
      <c r="BA70" s="164">
        <v>0</v>
      </c>
      <c r="BB70" s="164" t="s">
        <v>465</v>
      </c>
    </row>
    <row r="71" spans="1:54">
      <c r="A71" s="164" t="s">
        <v>466</v>
      </c>
      <c r="B71" s="164" t="s">
        <v>467</v>
      </c>
      <c r="C71" s="164" t="s">
        <v>468</v>
      </c>
      <c r="D71" s="164" t="s">
        <v>48</v>
      </c>
      <c r="E71" s="164" t="s">
        <v>218</v>
      </c>
      <c r="F71" s="164" t="s">
        <v>219</v>
      </c>
      <c r="G71" s="164" t="s">
        <v>220</v>
      </c>
      <c r="H71" s="164" t="s">
        <v>221</v>
      </c>
      <c r="I71" s="164" t="s">
        <v>222</v>
      </c>
      <c r="J71" s="164" t="s">
        <v>220</v>
      </c>
      <c r="K71" s="164" t="s">
        <v>220</v>
      </c>
      <c r="L71" s="164" t="s">
        <v>220</v>
      </c>
      <c r="M71" s="164" t="s">
        <v>223</v>
      </c>
      <c r="N71" s="164" t="s">
        <v>93</v>
      </c>
      <c r="O71" s="164">
        <v>361</v>
      </c>
      <c r="P71" s="164">
        <v>0</v>
      </c>
      <c r="Q71" s="164">
        <v>0</v>
      </c>
      <c r="R71" s="164">
        <v>0</v>
      </c>
      <c r="S71" s="164">
        <v>0</v>
      </c>
      <c r="T71" s="164">
        <v>0</v>
      </c>
      <c r="U71" s="164">
        <v>0</v>
      </c>
      <c r="V71" s="164">
        <v>18.05</v>
      </c>
      <c r="W71" s="164">
        <v>379.05</v>
      </c>
      <c r="X71" s="164">
        <v>361</v>
      </c>
      <c r="Y71" s="164">
        <v>22</v>
      </c>
      <c r="Z71" s="164">
        <v>79.42</v>
      </c>
      <c r="AA71" s="164">
        <v>6.97</v>
      </c>
      <c r="AB71" s="164">
        <v>86.39</v>
      </c>
      <c r="AC71" s="164">
        <v>15.55</v>
      </c>
      <c r="AD71" s="164">
        <v>0</v>
      </c>
      <c r="AE71" s="164">
        <v>361</v>
      </c>
      <c r="AF71" s="164">
        <v>0</v>
      </c>
      <c r="AG71" s="164">
        <v>0</v>
      </c>
      <c r="AH71" s="164">
        <v>0.36</v>
      </c>
      <c r="AI71" s="164">
        <v>18.05</v>
      </c>
      <c r="AJ71" s="164">
        <v>0</v>
      </c>
      <c r="AK71" s="164">
        <v>33.96</v>
      </c>
      <c r="AL71" s="164">
        <v>0</v>
      </c>
      <c r="AM71" s="164">
        <v>0</v>
      </c>
      <c r="AN71" s="164">
        <v>0</v>
      </c>
      <c r="AO71" s="164">
        <v>0</v>
      </c>
      <c r="AP71" s="164">
        <v>0</v>
      </c>
      <c r="AQ71" s="164">
        <v>0</v>
      </c>
      <c r="AR71" s="164">
        <v>0</v>
      </c>
      <c r="AS71" s="164">
        <v>0</v>
      </c>
      <c r="AT71" s="164">
        <v>0</v>
      </c>
      <c r="AU71" s="164">
        <v>120.35</v>
      </c>
      <c r="AV71" s="164">
        <v>0</v>
      </c>
      <c r="AW71" s="164">
        <v>258.7</v>
      </c>
      <c r="AX71" s="164" t="s">
        <v>224</v>
      </c>
      <c r="AY71" s="164" t="s">
        <v>380</v>
      </c>
      <c r="AZ71" s="164" t="s">
        <v>381</v>
      </c>
      <c r="BA71" s="164">
        <v>0</v>
      </c>
      <c r="BB71" s="164" t="s">
        <v>469</v>
      </c>
    </row>
    <row r="72" spans="1:54">
      <c r="A72" s="164" t="s">
        <v>470</v>
      </c>
      <c r="B72" s="164" t="s">
        <v>471</v>
      </c>
      <c r="C72" s="164" t="s">
        <v>472</v>
      </c>
      <c r="D72" s="164" t="s">
        <v>48</v>
      </c>
      <c r="E72" s="164" t="s">
        <v>218</v>
      </c>
      <c r="F72" s="164" t="s">
        <v>219</v>
      </c>
      <c r="G72" s="164" t="s">
        <v>220</v>
      </c>
      <c r="H72" s="164" t="s">
        <v>221</v>
      </c>
      <c r="I72" s="164" t="s">
        <v>222</v>
      </c>
      <c r="J72" s="164" t="s">
        <v>220</v>
      </c>
      <c r="K72" s="164" t="s">
        <v>220</v>
      </c>
      <c r="L72" s="164" t="s">
        <v>220</v>
      </c>
      <c r="M72" s="164" t="s">
        <v>223</v>
      </c>
      <c r="N72" s="164" t="s">
        <v>93</v>
      </c>
      <c r="O72" s="164">
        <v>284</v>
      </c>
      <c r="P72" s="164">
        <v>0</v>
      </c>
      <c r="Q72" s="164">
        <v>0</v>
      </c>
      <c r="R72" s="164">
        <v>0</v>
      </c>
      <c r="S72" s="164">
        <v>0</v>
      </c>
      <c r="T72" s="164">
        <v>0</v>
      </c>
      <c r="U72" s="164">
        <v>0</v>
      </c>
      <c r="V72" s="164">
        <v>14.2</v>
      </c>
      <c r="W72" s="164">
        <v>298.2</v>
      </c>
      <c r="X72" s="164">
        <v>284</v>
      </c>
      <c r="Y72" s="164">
        <v>22</v>
      </c>
      <c r="Z72" s="164">
        <v>62.48</v>
      </c>
      <c r="AA72" s="164">
        <v>5.49</v>
      </c>
      <c r="AB72" s="164">
        <v>67.97</v>
      </c>
      <c r="AC72" s="164">
        <v>12.24</v>
      </c>
      <c r="AD72" s="164">
        <v>0</v>
      </c>
      <c r="AE72" s="164">
        <v>284</v>
      </c>
      <c r="AF72" s="164">
        <v>0</v>
      </c>
      <c r="AG72" s="164">
        <v>0</v>
      </c>
      <c r="AH72" s="164">
        <v>0.28000000000000003</v>
      </c>
      <c r="AI72" s="164">
        <v>14.2</v>
      </c>
      <c r="AJ72" s="164">
        <v>0</v>
      </c>
      <c r="AK72" s="164">
        <v>26.72</v>
      </c>
      <c r="AL72" s="164">
        <v>0</v>
      </c>
      <c r="AM72" s="164">
        <v>0</v>
      </c>
      <c r="AN72" s="164">
        <v>0</v>
      </c>
      <c r="AO72" s="164">
        <v>0</v>
      </c>
      <c r="AP72" s="164">
        <v>0</v>
      </c>
      <c r="AQ72" s="164">
        <v>0</v>
      </c>
      <c r="AR72" s="164">
        <v>0</v>
      </c>
      <c r="AS72" s="164">
        <v>0</v>
      </c>
      <c r="AT72" s="164">
        <v>0</v>
      </c>
      <c r="AU72" s="164">
        <v>94.69</v>
      </c>
      <c r="AV72" s="164">
        <v>0</v>
      </c>
      <c r="AW72" s="164">
        <v>203.51</v>
      </c>
      <c r="AX72" s="164" t="s">
        <v>224</v>
      </c>
      <c r="AY72" s="164" t="s">
        <v>380</v>
      </c>
      <c r="AZ72" s="164" t="s">
        <v>381</v>
      </c>
      <c r="BA72" s="164">
        <v>0</v>
      </c>
      <c r="BB72" s="164" t="s">
        <v>473</v>
      </c>
    </row>
    <row r="73" spans="1:54">
      <c r="A73" s="164" t="s">
        <v>474</v>
      </c>
      <c r="B73" s="164" t="s">
        <v>475</v>
      </c>
      <c r="C73" s="164" t="s">
        <v>476</v>
      </c>
      <c r="D73" s="164" t="s">
        <v>48</v>
      </c>
      <c r="E73" s="164" t="s">
        <v>218</v>
      </c>
      <c r="F73" s="164" t="s">
        <v>219</v>
      </c>
      <c r="G73" s="164" t="s">
        <v>220</v>
      </c>
      <c r="H73" s="164" t="s">
        <v>221</v>
      </c>
      <c r="I73" s="164" t="s">
        <v>222</v>
      </c>
      <c r="J73" s="164" t="s">
        <v>220</v>
      </c>
      <c r="K73" s="164" t="s">
        <v>220</v>
      </c>
      <c r="L73" s="164" t="s">
        <v>220</v>
      </c>
      <c r="M73" s="164" t="s">
        <v>223</v>
      </c>
      <c r="N73" s="164" t="s">
        <v>93</v>
      </c>
      <c r="O73" s="164">
        <v>423</v>
      </c>
      <c r="P73" s="164">
        <v>0</v>
      </c>
      <c r="Q73" s="164">
        <v>0</v>
      </c>
      <c r="R73" s="164">
        <v>0</v>
      </c>
      <c r="S73" s="164">
        <v>0</v>
      </c>
      <c r="T73" s="164">
        <v>0</v>
      </c>
      <c r="U73" s="164">
        <v>0</v>
      </c>
      <c r="V73" s="164">
        <v>21.15</v>
      </c>
      <c r="W73" s="164">
        <v>444.15</v>
      </c>
      <c r="X73" s="164">
        <v>423</v>
      </c>
      <c r="Y73" s="164">
        <v>22</v>
      </c>
      <c r="Z73" s="164">
        <v>93.06</v>
      </c>
      <c r="AA73" s="164">
        <v>8.17</v>
      </c>
      <c r="AB73" s="164">
        <v>101.23</v>
      </c>
      <c r="AC73" s="164">
        <v>18.22</v>
      </c>
      <c r="AD73" s="164">
        <v>0</v>
      </c>
      <c r="AE73" s="164">
        <v>423</v>
      </c>
      <c r="AF73" s="164">
        <v>0</v>
      </c>
      <c r="AG73" s="164">
        <v>0</v>
      </c>
      <c r="AH73" s="164">
        <v>0.42</v>
      </c>
      <c r="AI73" s="164">
        <v>21.15</v>
      </c>
      <c r="AJ73" s="164">
        <v>0</v>
      </c>
      <c r="AK73" s="164">
        <v>39.79</v>
      </c>
      <c r="AL73" s="164">
        <v>0</v>
      </c>
      <c r="AM73" s="164">
        <v>0</v>
      </c>
      <c r="AN73" s="164">
        <v>0</v>
      </c>
      <c r="AO73" s="164">
        <v>0</v>
      </c>
      <c r="AP73" s="164">
        <v>0</v>
      </c>
      <c r="AQ73" s="164">
        <v>0</v>
      </c>
      <c r="AR73" s="164">
        <v>0</v>
      </c>
      <c r="AS73" s="164">
        <v>0</v>
      </c>
      <c r="AT73" s="164">
        <v>0</v>
      </c>
      <c r="AU73" s="164">
        <v>141.02000000000001</v>
      </c>
      <c r="AV73" s="164">
        <v>0</v>
      </c>
      <c r="AW73" s="164">
        <v>303.13</v>
      </c>
      <c r="AX73" s="164" t="s">
        <v>224</v>
      </c>
      <c r="AY73" s="164" t="s">
        <v>380</v>
      </c>
      <c r="AZ73" s="164" t="s">
        <v>381</v>
      </c>
      <c r="BA73" s="164">
        <v>0</v>
      </c>
      <c r="BB73" s="164" t="s">
        <v>477</v>
      </c>
    </row>
    <row r="74" spans="1:54">
      <c r="A74" s="164" t="s">
        <v>478</v>
      </c>
      <c r="B74" s="164" t="s">
        <v>479</v>
      </c>
      <c r="C74" s="164" t="s">
        <v>480</v>
      </c>
      <c r="D74" s="164" t="s">
        <v>48</v>
      </c>
      <c r="E74" s="164" t="s">
        <v>218</v>
      </c>
      <c r="F74" s="164" t="s">
        <v>219</v>
      </c>
      <c r="G74" s="164" t="s">
        <v>220</v>
      </c>
      <c r="H74" s="164" t="s">
        <v>221</v>
      </c>
      <c r="I74" s="164" t="s">
        <v>222</v>
      </c>
      <c r="J74" s="164" t="s">
        <v>220</v>
      </c>
      <c r="K74" s="164" t="s">
        <v>220</v>
      </c>
      <c r="L74" s="164" t="s">
        <v>220</v>
      </c>
      <c r="M74" s="164" t="s">
        <v>223</v>
      </c>
      <c r="N74" s="164" t="s">
        <v>93</v>
      </c>
      <c r="O74" s="164">
        <v>840</v>
      </c>
      <c r="P74" s="164">
        <v>0</v>
      </c>
      <c r="Q74" s="164">
        <v>0</v>
      </c>
      <c r="R74" s="164">
        <v>0</v>
      </c>
      <c r="S74" s="164">
        <v>0</v>
      </c>
      <c r="T74" s="164">
        <v>0</v>
      </c>
      <c r="U74" s="164">
        <v>0</v>
      </c>
      <c r="V74" s="164">
        <v>42</v>
      </c>
      <c r="W74" s="164">
        <v>882</v>
      </c>
      <c r="X74" s="164">
        <v>840</v>
      </c>
      <c r="Y74" s="164">
        <v>22</v>
      </c>
      <c r="Z74" s="164">
        <v>184.8</v>
      </c>
      <c r="AA74" s="164">
        <v>16.23</v>
      </c>
      <c r="AB74" s="164">
        <v>201.03</v>
      </c>
      <c r="AC74" s="164">
        <v>36.18</v>
      </c>
      <c r="AD74" s="164">
        <v>0</v>
      </c>
      <c r="AE74" s="164">
        <v>840</v>
      </c>
      <c r="AF74" s="164">
        <v>0</v>
      </c>
      <c r="AG74" s="164">
        <v>0</v>
      </c>
      <c r="AH74" s="164">
        <v>0.84</v>
      </c>
      <c r="AI74" s="164">
        <v>42</v>
      </c>
      <c r="AJ74" s="164">
        <v>0</v>
      </c>
      <c r="AK74" s="164">
        <v>79.02</v>
      </c>
      <c r="AL74" s="164">
        <v>0</v>
      </c>
      <c r="AM74" s="164">
        <v>0</v>
      </c>
      <c r="AN74" s="164">
        <v>0</v>
      </c>
      <c r="AO74" s="164">
        <v>0</v>
      </c>
      <c r="AP74" s="164">
        <v>0</v>
      </c>
      <c r="AQ74" s="164">
        <v>0</v>
      </c>
      <c r="AR74" s="164">
        <v>0</v>
      </c>
      <c r="AS74" s="164">
        <v>0</v>
      </c>
      <c r="AT74" s="164">
        <v>0</v>
      </c>
      <c r="AU74" s="164">
        <v>280.05</v>
      </c>
      <c r="AV74" s="164">
        <v>0</v>
      </c>
      <c r="AW74" s="164">
        <v>601.95000000000005</v>
      </c>
      <c r="AX74" s="164" t="s">
        <v>224</v>
      </c>
      <c r="AY74" s="164" t="s">
        <v>380</v>
      </c>
      <c r="AZ74" s="164" t="s">
        <v>381</v>
      </c>
      <c r="BA74" s="164">
        <v>0</v>
      </c>
      <c r="BB74" s="164" t="s">
        <v>481</v>
      </c>
    </row>
    <row r="75" spans="1:54">
      <c r="A75" s="164" t="s">
        <v>482</v>
      </c>
      <c r="B75" s="164" t="s">
        <v>483</v>
      </c>
      <c r="C75" s="164" t="s">
        <v>484</v>
      </c>
      <c r="D75" s="164" t="s">
        <v>48</v>
      </c>
      <c r="E75" s="164" t="s">
        <v>218</v>
      </c>
      <c r="F75" s="164" t="s">
        <v>219</v>
      </c>
      <c r="G75" s="164" t="s">
        <v>220</v>
      </c>
      <c r="H75" s="164" t="s">
        <v>221</v>
      </c>
      <c r="I75" s="164" t="s">
        <v>222</v>
      </c>
      <c r="J75" s="164" t="s">
        <v>220</v>
      </c>
      <c r="K75" s="164" t="s">
        <v>220</v>
      </c>
      <c r="L75" s="164" t="s">
        <v>220</v>
      </c>
      <c r="M75" s="164" t="s">
        <v>223</v>
      </c>
      <c r="N75" s="164" t="s">
        <v>93</v>
      </c>
      <c r="O75" s="164">
        <v>458</v>
      </c>
      <c r="P75" s="164">
        <v>0</v>
      </c>
      <c r="Q75" s="164">
        <v>0</v>
      </c>
      <c r="R75" s="164">
        <v>0</v>
      </c>
      <c r="S75" s="164">
        <v>0</v>
      </c>
      <c r="T75" s="164">
        <v>0</v>
      </c>
      <c r="U75" s="164">
        <v>0</v>
      </c>
      <c r="V75" s="164">
        <v>22.9</v>
      </c>
      <c r="W75" s="164">
        <v>480.9</v>
      </c>
      <c r="X75" s="164">
        <v>458</v>
      </c>
      <c r="Y75" s="164">
        <v>22</v>
      </c>
      <c r="Z75" s="164">
        <v>100.76</v>
      </c>
      <c r="AA75" s="164">
        <v>8.85</v>
      </c>
      <c r="AB75" s="164">
        <v>109.61</v>
      </c>
      <c r="AC75" s="164">
        <v>19.73</v>
      </c>
      <c r="AD75" s="164">
        <v>0</v>
      </c>
      <c r="AE75" s="164">
        <v>458</v>
      </c>
      <c r="AF75" s="164">
        <v>0</v>
      </c>
      <c r="AG75" s="164">
        <v>0</v>
      </c>
      <c r="AH75" s="164">
        <v>0.46</v>
      </c>
      <c r="AI75" s="164">
        <v>22.9</v>
      </c>
      <c r="AJ75" s="164">
        <v>0</v>
      </c>
      <c r="AK75" s="164">
        <v>43.09</v>
      </c>
      <c r="AL75" s="164">
        <v>0</v>
      </c>
      <c r="AM75" s="164">
        <v>0</v>
      </c>
      <c r="AN75" s="164">
        <v>0</v>
      </c>
      <c r="AO75" s="164">
        <v>0</v>
      </c>
      <c r="AP75" s="164">
        <v>0</v>
      </c>
      <c r="AQ75" s="164">
        <v>0</v>
      </c>
      <c r="AR75" s="164">
        <v>0</v>
      </c>
      <c r="AS75" s="164">
        <v>0</v>
      </c>
      <c r="AT75" s="164">
        <v>0</v>
      </c>
      <c r="AU75" s="164">
        <v>152.69999999999999</v>
      </c>
      <c r="AV75" s="164">
        <v>0</v>
      </c>
      <c r="AW75" s="164">
        <v>328.2</v>
      </c>
      <c r="AX75" s="164" t="s">
        <v>224</v>
      </c>
      <c r="AY75" s="164" t="s">
        <v>380</v>
      </c>
      <c r="AZ75" s="164" t="s">
        <v>381</v>
      </c>
      <c r="BA75" s="164">
        <v>0</v>
      </c>
      <c r="BB75" s="164" t="s">
        <v>308</v>
      </c>
    </row>
    <row r="76" spans="1:54">
      <c r="A76" s="164" t="s">
        <v>485</v>
      </c>
      <c r="B76" s="164" t="s">
        <v>486</v>
      </c>
      <c r="C76" s="164" t="s">
        <v>487</v>
      </c>
      <c r="D76" s="164" t="s">
        <v>48</v>
      </c>
      <c r="E76" s="164" t="s">
        <v>218</v>
      </c>
      <c r="F76" s="164" t="s">
        <v>219</v>
      </c>
      <c r="G76" s="164" t="s">
        <v>220</v>
      </c>
      <c r="H76" s="164" t="s">
        <v>221</v>
      </c>
      <c r="I76" s="164" t="s">
        <v>222</v>
      </c>
      <c r="J76" s="164" t="s">
        <v>220</v>
      </c>
      <c r="K76" s="164" t="s">
        <v>220</v>
      </c>
      <c r="L76" s="164" t="s">
        <v>220</v>
      </c>
      <c r="M76" s="164" t="s">
        <v>223</v>
      </c>
      <c r="N76" s="164" t="s">
        <v>93</v>
      </c>
      <c r="O76" s="164">
        <v>229</v>
      </c>
      <c r="P76" s="164">
        <v>0</v>
      </c>
      <c r="Q76" s="164">
        <v>0</v>
      </c>
      <c r="R76" s="164">
        <v>0</v>
      </c>
      <c r="S76" s="164">
        <v>0</v>
      </c>
      <c r="T76" s="164">
        <v>0</v>
      </c>
      <c r="U76" s="164">
        <v>0</v>
      </c>
      <c r="V76" s="164">
        <v>11.45</v>
      </c>
      <c r="W76" s="164">
        <v>240.45</v>
      </c>
      <c r="X76" s="164">
        <v>229</v>
      </c>
      <c r="Y76" s="164">
        <v>22</v>
      </c>
      <c r="Z76" s="164">
        <v>50.38</v>
      </c>
      <c r="AA76" s="164">
        <v>4.42</v>
      </c>
      <c r="AB76" s="164">
        <v>54.8</v>
      </c>
      <c r="AC76" s="164">
        <v>9.8699999999999992</v>
      </c>
      <c r="AD76" s="164">
        <v>0</v>
      </c>
      <c r="AE76" s="164">
        <v>229</v>
      </c>
      <c r="AF76" s="164">
        <v>0</v>
      </c>
      <c r="AG76" s="164">
        <v>0</v>
      </c>
      <c r="AH76" s="164">
        <v>0.23</v>
      </c>
      <c r="AI76" s="164">
        <v>11.45</v>
      </c>
      <c r="AJ76" s="164">
        <v>0</v>
      </c>
      <c r="AK76" s="164">
        <v>21.55</v>
      </c>
      <c r="AL76" s="164">
        <v>0</v>
      </c>
      <c r="AM76" s="164">
        <v>0</v>
      </c>
      <c r="AN76" s="164">
        <v>0</v>
      </c>
      <c r="AO76" s="164">
        <v>0</v>
      </c>
      <c r="AP76" s="164">
        <v>0</v>
      </c>
      <c r="AQ76" s="164">
        <v>0</v>
      </c>
      <c r="AR76" s="164">
        <v>0</v>
      </c>
      <c r="AS76" s="164">
        <v>0</v>
      </c>
      <c r="AT76" s="164">
        <v>0</v>
      </c>
      <c r="AU76" s="164">
        <v>76.349999999999994</v>
      </c>
      <c r="AV76" s="164">
        <v>0</v>
      </c>
      <c r="AW76" s="164">
        <v>164.1</v>
      </c>
      <c r="AX76" s="164" t="s">
        <v>224</v>
      </c>
      <c r="AY76" s="164" t="s">
        <v>380</v>
      </c>
      <c r="AZ76" s="164" t="s">
        <v>381</v>
      </c>
      <c r="BA76" s="164">
        <v>0</v>
      </c>
      <c r="BB76" s="164" t="s">
        <v>488</v>
      </c>
    </row>
    <row r="77" spans="1:54">
      <c r="A77" s="164" t="s">
        <v>489</v>
      </c>
      <c r="B77" s="164" t="s">
        <v>490</v>
      </c>
      <c r="C77" s="164" t="s">
        <v>491</v>
      </c>
      <c r="D77" s="164" t="s">
        <v>48</v>
      </c>
      <c r="E77" s="164" t="s">
        <v>218</v>
      </c>
      <c r="F77" s="164" t="s">
        <v>219</v>
      </c>
      <c r="G77" s="164" t="s">
        <v>220</v>
      </c>
      <c r="H77" s="164" t="s">
        <v>221</v>
      </c>
      <c r="I77" s="164" t="s">
        <v>222</v>
      </c>
      <c r="J77" s="164" t="s">
        <v>220</v>
      </c>
      <c r="K77" s="164" t="s">
        <v>220</v>
      </c>
      <c r="L77" s="164" t="s">
        <v>220</v>
      </c>
      <c r="M77" s="164" t="s">
        <v>223</v>
      </c>
      <c r="N77" s="164" t="s">
        <v>93</v>
      </c>
      <c r="O77" s="164">
        <v>1059</v>
      </c>
      <c r="P77" s="164">
        <v>0</v>
      </c>
      <c r="Q77" s="164">
        <v>0</v>
      </c>
      <c r="R77" s="164">
        <v>0</v>
      </c>
      <c r="S77" s="164">
        <v>0</v>
      </c>
      <c r="T77" s="164">
        <v>0</v>
      </c>
      <c r="U77" s="164">
        <v>0</v>
      </c>
      <c r="V77" s="164">
        <v>52.95</v>
      </c>
      <c r="W77" s="164">
        <v>1111.95</v>
      </c>
      <c r="X77" s="164">
        <v>1059</v>
      </c>
      <c r="Y77" s="164">
        <v>22</v>
      </c>
      <c r="Z77" s="164">
        <v>232.98</v>
      </c>
      <c r="AA77" s="164">
        <v>20.46</v>
      </c>
      <c r="AB77" s="164">
        <v>253.44</v>
      </c>
      <c r="AC77" s="164">
        <v>45.62</v>
      </c>
      <c r="AD77" s="164">
        <v>0</v>
      </c>
      <c r="AE77" s="164">
        <v>1059</v>
      </c>
      <c r="AF77" s="164">
        <v>0</v>
      </c>
      <c r="AG77" s="164">
        <v>0</v>
      </c>
      <c r="AH77" s="164">
        <v>1.06</v>
      </c>
      <c r="AI77" s="164">
        <v>52.95</v>
      </c>
      <c r="AJ77" s="164">
        <v>0</v>
      </c>
      <c r="AK77" s="164">
        <v>99.63</v>
      </c>
      <c r="AL77" s="164">
        <v>0</v>
      </c>
      <c r="AM77" s="164">
        <v>0</v>
      </c>
      <c r="AN77" s="164">
        <v>0</v>
      </c>
      <c r="AO77" s="164">
        <v>0</v>
      </c>
      <c r="AP77" s="164">
        <v>0</v>
      </c>
      <c r="AQ77" s="164">
        <v>0</v>
      </c>
      <c r="AR77" s="164">
        <v>0</v>
      </c>
      <c r="AS77" s="164">
        <v>0</v>
      </c>
      <c r="AT77" s="164">
        <v>0</v>
      </c>
      <c r="AU77" s="164">
        <v>353.07</v>
      </c>
      <c r="AV77" s="164">
        <v>0</v>
      </c>
      <c r="AW77" s="164">
        <v>758.88</v>
      </c>
      <c r="AX77" s="164" t="s">
        <v>224</v>
      </c>
      <c r="AY77" s="164" t="s">
        <v>380</v>
      </c>
      <c r="AZ77" s="164" t="s">
        <v>381</v>
      </c>
      <c r="BA77" s="164">
        <v>0</v>
      </c>
      <c r="BB77" s="164" t="s">
        <v>492</v>
      </c>
    </row>
    <row r="78" spans="1:54">
      <c r="A78" s="164" t="s">
        <v>493</v>
      </c>
      <c r="B78" s="164" t="s">
        <v>494</v>
      </c>
      <c r="C78" s="164" t="s">
        <v>495</v>
      </c>
      <c r="D78" s="164" t="s">
        <v>48</v>
      </c>
      <c r="E78" s="164" t="s">
        <v>218</v>
      </c>
      <c r="F78" s="164" t="s">
        <v>219</v>
      </c>
      <c r="G78" s="164" t="s">
        <v>220</v>
      </c>
      <c r="H78" s="164" t="s">
        <v>221</v>
      </c>
      <c r="I78" s="164" t="s">
        <v>222</v>
      </c>
      <c r="J78" s="164" t="s">
        <v>220</v>
      </c>
      <c r="K78" s="164" t="s">
        <v>220</v>
      </c>
      <c r="L78" s="164" t="s">
        <v>220</v>
      </c>
      <c r="M78" s="164" t="s">
        <v>223</v>
      </c>
      <c r="N78" s="164" t="s">
        <v>93</v>
      </c>
      <c r="O78" s="164">
        <v>398</v>
      </c>
      <c r="P78" s="164">
        <v>0</v>
      </c>
      <c r="Q78" s="164">
        <v>0</v>
      </c>
      <c r="R78" s="164">
        <v>0</v>
      </c>
      <c r="S78" s="164">
        <v>0</v>
      </c>
      <c r="T78" s="164">
        <v>0</v>
      </c>
      <c r="U78" s="164">
        <v>0</v>
      </c>
      <c r="V78" s="164">
        <v>19.899999999999999</v>
      </c>
      <c r="W78" s="164">
        <v>417.9</v>
      </c>
      <c r="X78" s="164">
        <v>398</v>
      </c>
      <c r="Y78" s="164">
        <v>22</v>
      </c>
      <c r="Z78" s="164">
        <v>87.56</v>
      </c>
      <c r="AA78" s="164">
        <v>7.69</v>
      </c>
      <c r="AB78" s="164">
        <v>95.25</v>
      </c>
      <c r="AC78" s="164">
        <v>17.14</v>
      </c>
      <c r="AD78" s="164">
        <v>0</v>
      </c>
      <c r="AE78" s="164">
        <v>398</v>
      </c>
      <c r="AF78" s="164">
        <v>0</v>
      </c>
      <c r="AG78" s="164">
        <v>0</v>
      </c>
      <c r="AH78" s="164">
        <v>0.4</v>
      </c>
      <c r="AI78" s="164">
        <v>19.899999999999999</v>
      </c>
      <c r="AJ78" s="164">
        <v>0</v>
      </c>
      <c r="AK78" s="164">
        <v>37.44</v>
      </c>
      <c r="AL78" s="164">
        <v>0</v>
      </c>
      <c r="AM78" s="164">
        <v>0</v>
      </c>
      <c r="AN78" s="164">
        <v>0</v>
      </c>
      <c r="AO78" s="164">
        <v>0</v>
      </c>
      <c r="AP78" s="164">
        <v>0</v>
      </c>
      <c r="AQ78" s="164">
        <v>0</v>
      </c>
      <c r="AR78" s="164">
        <v>0</v>
      </c>
      <c r="AS78" s="164">
        <v>0</v>
      </c>
      <c r="AT78" s="164">
        <v>0</v>
      </c>
      <c r="AU78" s="164">
        <v>132.69</v>
      </c>
      <c r="AV78" s="164">
        <v>0</v>
      </c>
      <c r="AW78" s="164">
        <v>285.20999999999998</v>
      </c>
      <c r="AX78" s="164" t="s">
        <v>224</v>
      </c>
      <c r="AY78" s="164" t="s">
        <v>380</v>
      </c>
      <c r="AZ78" s="164" t="s">
        <v>381</v>
      </c>
      <c r="BA78" s="164">
        <v>0</v>
      </c>
      <c r="BB78" s="164" t="s">
        <v>496</v>
      </c>
    </row>
    <row r="79" spans="1:54">
      <c r="A79" s="164" t="s">
        <v>497</v>
      </c>
      <c r="B79" s="164" t="s">
        <v>498</v>
      </c>
      <c r="C79" s="164" t="s">
        <v>499</v>
      </c>
      <c r="D79" s="164" t="s">
        <v>48</v>
      </c>
      <c r="E79" s="164" t="s">
        <v>218</v>
      </c>
      <c r="F79" s="164" t="s">
        <v>219</v>
      </c>
      <c r="G79" s="164" t="s">
        <v>220</v>
      </c>
      <c r="H79" s="164" t="s">
        <v>221</v>
      </c>
      <c r="I79" s="164" t="s">
        <v>222</v>
      </c>
      <c r="J79" s="164" t="s">
        <v>220</v>
      </c>
      <c r="K79" s="164" t="s">
        <v>220</v>
      </c>
      <c r="L79" s="164" t="s">
        <v>220</v>
      </c>
      <c r="M79" s="164" t="s">
        <v>223</v>
      </c>
      <c r="N79" s="164" t="s">
        <v>93</v>
      </c>
      <c r="O79" s="164">
        <v>417</v>
      </c>
      <c r="P79" s="164">
        <v>0</v>
      </c>
      <c r="Q79" s="164">
        <v>0</v>
      </c>
      <c r="R79" s="164">
        <v>0</v>
      </c>
      <c r="S79" s="164">
        <v>0</v>
      </c>
      <c r="T79" s="164">
        <v>0</v>
      </c>
      <c r="U79" s="164">
        <v>0</v>
      </c>
      <c r="V79" s="164">
        <v>20.85</v>
      </c>
      <c r="W79" s="164">
        <v>437.85</v>
      </c>
      <c r="X79" s="164">
        <v>417</v>
      </c>
      <c r="Y79" s="164">
        <v>22</v>
      </c>
      <c r="Z79" s="164">
        <v>91.74</v>
      </c>
      <c r="AA79" s="164">
        <v>8.06</v>
      </c>
      <c r="AB79" s="164">
        <v>99.8</v>
      </c>
      <c r="AC79" s="164">
        <v>17.96</v>
      </c>
      <c r="AD79" s="164">
        <v>0</v>
      </c>
      <c r="AE79" s="164">
        <v>417</v>
      </c>
      <c r="AF79" s="164">
        <v>0</v>
      </c>
      <c r="AG79" s="164">
        <v>0</v>
      </c>
      <c r="AH79" s="164">
        <v>0.42</v>
      </c>
      <c r="AI79" s="164">
        <v>20.85</v>
      </c>
      <c r="AJ79" s="164">
        <v>0</v>
      </c>
      <c r="AK79" s="164">
        <v>39.229999999999997</v>
      </c>
      <c r="AL79" s="164">
        <v>0</v>
      </c>
      <c r="AM79" s="164">
        <v>0</v>
      </c>
      <c r="AN79" s="164">
        <v>0</v>
      </c>
      <c r="AO79" s="164">
        <v>0</v>
      </c>
      <c r="AP79" s="164">
        <v>0</v>
      </c>
      <c r="AQ79" s="164">
        <v>0</v>
      </c>
      <c r="AR79" s="164">
        <v>0</v>
      </c>
      <c r="AS79" s="164">
        <v>0</v>
      </c>
      <c r="AT79" s="164">
        <v>0</v>
      </c>
      <c r="AU79" s="164">
        <v>139.03</v>
      </c>
      <c r="AV79" s="164">
        <v>0</v>
      </c>
      <c r="AW79" s="164">
        <v>298.82</v>
      </c>
      <c r="AX79" s="164" t="s">
        <v>224</v>
      </c>
      <c r="AY79" s="164" t="s">
        <v>380</v>
      </c>
      <c r="AZ79" s="164" t="s">
        <v>381</v>
      </c>
      <c r="BA79" s="164">
        <v>0</v>
      </c>
      <c r="BB79" s="164" t="s">
        <v>415</v>
      </c>
    </row>
    <row r="80" spans="1:54">
      <c r="A80" s="164" t="s">
        <v>500</v>
      </c>
      <c r="B80" s="164" t="s">
        <v>501</v>
      </c>
      <c r="C80" s="164" t="s">
        <v>502</v>
      </c>
      <c r="D80" s="164" t="s">
        <v>48</v>
      </c>
      <c r="E80" s="164" t="s">
        <v>218</v>
      </c>
      <c r="F80" s="164" t="s">
        <v>219</v>
      </c>
      <c r="G80" s="164" t="s">
        <v>220</v>
      </c>
      <c r="H80" s="164" t="s">
        <v>221</v>
      </c>
      <c r="I80" s="164" t="s">
        <v>222</v>
      </c>
      <c r="J80" s="164" t="s">
        <v>220</v>
      </c>
      <c r="K80" s="164" t="s">
        <v>220</v>
      </c>
      <c r="L80" s="164" t="s">
        <v>220</v>
      </c>
      <c r="M80" s="164" t="s">
        <v>223</v>
      </c>
      <c r="N80" s="164" t="s">
        <v>93</v>
      </c>
      <c r="O80" s="164">
        <v>519</v>
      </c>
      <c r="P80" s="164">
        <v>0</v>
      </c>
      <c r="Q80" s="164">
        <v>0</v>
      </c>
      <c r="R80" s="164">
        <v>0</v>
      </c>
      <c r="S80" s="164">
        <v>0</v>
      </c>
      <c r="T80" s="164">
        <v>0</v>
      </c>
      <c r="U80" s="164">
        <v>0</v>
      </c>
      <c r="V80" s="164">
        <v>25.95</v>
      </c>
      <c r="W80" s="164">
        <v>544.95000000000005</v>
      </c>
      <c r="X80" s="164">
        <v>519</v>
      </c>
      <c r="Y80" s="164">
        <v>22</v>
      </c>
      <c r="Z80" s="164">
        <v>114.18</v>
      </c>
      <c r="AA80" s="164">
        <v>10.029999999999999</v>
      </c>
      <c r="AB80" s="164">
        <v>124.21</v>
      </c>
      <c r="AC80" s="164">
        <v>22.36</v>
      </c>
      <c r="AD80" s="164">
        <v>0</v>
      </c>
      <c r="AE80" s="164">
        <v>519</v>
      </c>
      <c r="AF80" s="164">
        <v>0</v>
      </c>
      <c r="AG80" s="164">
        <v>0</v>
      </c>
      <c r="AH80" s="164">
        <v>0.52</v>
      </c>
      <c r="AI80" s="164">
        <v>25.95</v>
      </c>
      <c r="AJ80" s="164">
        <v>0</v>
      </c>
      <c r="AK80" s="164">
        <v>48.83</v>
      </c>
      <c r="AL80" s="164">
        <v>0</v>
      </c>
      <c r="AM80" s="164">
        <v>0</v>
      </c>
      <c r="AN80" s="164">
        <v>0</v>
      </c>
      <c r="AO80" s="164">
        <v>0</v>
      </c>
      <c r="AP80" s="164">
        <v>0</v>
      </c>
      <c r="AQ80" s="164">
        <v>0</v>
      </c>
      <c r="AR80" s="164">
        <v>0</v>
      </c>
      <c r="AS80" s="164">
        <v>0</v>
      </c>
      <c r="AT80" s="164">
        <v>0</v>
      </c>
      <c r="AU80" s="164">
        <v>173.04</v>
      </c>
      <c r="AV80" s="164">
        <v>0</v>
      </c>
      <c r="AW80" s="164">
        <v>371.91</v>
      </c>
      <c r="AX80" s="164" t="s">
        <v>224</v>
      </c>
      <c r="AY80" s="164" t="s">
        <v>380</v>
      </c>
      <c r="AZ80" s="164" t="s">
        <v>381</v>
      </c>
      <c r="BA80" s="164">
        <v>0</v>
      </c>
      <c r="BB80" s="164" t="s">
        <v>503</v>
      </c>
    </row>
    <row r="81" spans="1:54">
      <c r="A81" s="164" t="s">
        <v>504</v>
      </c>
      <c r="B81" s="164" t="s">
        <v>505</v>
      </c>
      <c r="C81" s="164" t="s">
        <v>506</v>
      </c>
      <c r="D81" s="164" t="s">
        <v>48</v>
      </c>
      <c r="E81" s="164" t="s">
        <v>218</v>
      </c>
      <c r="F81" s="164" t="s">
        <v>219</v>
      </c>
      <c r="G81" s="164" t="s">
        <v>220</v>
      </c>
      <c r="H81" s="164" t="s">
        <v>221</v>
      </c>
      <c r="I81" s="164" t="s">
        <v>222</v>
      </c>
      <c r="J81" s="164" t="s">
        <v>220</v>
      </c>
      <c r="K81" s="164" t="s">
        <v>220</v>
      </c>
      <c r="L81" s="164" t="s">
        <v>220</v>
      </c>
      <c r="M81" s="164" t="s">
        <v>223</v>
      </c>
      <c r="N81" s="164" t="s">
        <v>93</v>
      </c>
      <c r="O81" s="164">
        <v>519</v>
      </c>
      <c r="P81" s="164">
        <v>0</v>
      </c>
      <c r="Q81" s="164">
        <v>0</v>
      </c>
      <c r="R81" s="164">
        <v>0</v>
      </c>
      <c r="S81" s="164">
        <v>0</v>
      </c>
      <c r="T81" s="164">
        <v>0</v>
      </c>
      <c r="U81" s="164">
        <v>0</v>
      </c>
      <c r="V81" s="164">
        <v>25.95</v>
      </c>
      <c r="W81" s="164">
        <v>544.95000000000005</v>
      </c>
      <c r="X81" s="164">
        <v>519</v>
      </c>
      <c r="Y81" s="164">
        <v>22</v>
      </c>
      <c r="Z81" s="164">
        <v>114.18</v>
      </c>
      <c r="AA81" s="164">
        <v>10.029999999999999</v>
      </c>
      <c r="AB81" s="164">
        <v>124.21</v>
      </c>
      <c r="AC81" s="164">
        <v>22.36</v>
      </c>
      <c r="AD81" s="164">
        <v>0</v>
      </c>
      <c r="AE81" s="164">
        <v>519</v>
      </c>
      <c r="AF81" s="164">
        <v>0</v>
      </c>
      <c r="AG81" s="164">
        <v>0</v>
      </c>
      <c r="AH81" s="164">
        <v>0.52</v>
      </c>
      <c r="AI81" s="164">
        <v>25.95</v>
      </c>
      <c r="AJ81" s="164">
        <v>0</v>
      </c>
      <c r="AK81" s="164">
        <v>48.83</v>
      </c>
      <c r="AL81" s="164">
        <v>0</v>
      </c>
      <c r="AM81" s="164">
        <v>0</v>
      </c>
      <c r="AN81" s="164">
        <v>0</v>
      </c>
      <c r="AO81" s="164">
        <v>0</v>
      </c>
      <c r="AP81" s="164">
        <v>0</v>
      </c>
      <c r="AQ81" s="164">
        <v>0</v>
      </c>
      <c r="AR81" s="164">
        <v>0</v>
      </c>
      <c r="AS81" s="164">
        <v>0</v>
      </c>
      <c r="AT81" s="164">
        <v>0</v>
      </c>
      <c r="AU81" s="164">
        <v>173.04</v>
      </c>
      <c r="AV81" s="164">
        <v>0</v>
      </c>
      <c r="AW81" s="164">
        <v>371.91</v>
      </c>
      <c r="AX81" s="164" t="s">
        <v>224</v>
      </c>
      <c r="AY81" s="164" t="s">
        <v>380</v>
      </c>
      <c r="AZ81" s="164" t="s">
        <v>381</v>
      </c>
      <c r="BA81" s="164">
        <v>0</v>
      </c>
      <c r="BB81" s="164" t="s">
        <v>507</v>
      </c>
    </row>
    <row r="82" spans="1:54">
      <c r="A82" s="164" t="s">
        <v>508</v>
      </c>
      <c r="B82" s="164" t="s">
        <v>509</v>
      </c>
      <c r="C82" s="164" t="s">
        <v>510</v>
      </c>
      <c r="D82" s="164" t="s">
        <v>48</v>
      </c>
      <c r="E82" s="164" t="s">
        <v>218</v>
      </c>
      <c r="F82" s="164" t="s">
        <v>219</v>
      </c>
      <c r="G82" s="164" t="s">
        <v>220</v>
      </c>
      <c r="H82" s="164" t="s">
        <v>221</v>
      </c>
      <c r="I82" s="164" t="s">
        <v>222</v>
      </c>
      <c r="J82" s="164" t="s">
        <v>220</v>
      </c>
      <c r="K82" s="164" t="s">
        <v>220</v>
      </c>
      <c r="L82" s="164" t="s">
        <v>220</v>
      </c>
      <c r="M82" s="164" t="s">
        <v>223</v>
      </c>
      <c r="N82" s="164" t="s">
        <v>93</v>
      </c>
      <c r="O82" s="164">
        <v>519</v>
      </c>
      <c r="P82" s="164">
        <v>0</v>
      </c>
      <c r="Q82" s="164">
        <v>0</v>
      </c>
      <c r="R82" s="164">
        <v>0</v>
      </c>
      <c r="S82" s="164">
        <v>0</v>
      </c>
      <c r="T82" s="164">
        <v>0</v>
      </c>
      <c r="U82" s="164">
        <v>0</v>
      </c>
      <c r="V82" s="164">
        <v>25.95</v>
      </c>
      <c r="W82" s="164">
        <v>544.95000000000005</v>
      </c>
      <c r="X82" s="164">
        <v>519</v>
      </c>
      <c r="Y82" s="164">
        <v>22</v>
      </c>
      <c r="Z82" s="164">
        <v>114.18</v>
      </c>
      <c r="AA82" s="164">
        <v>10.029999999999999</v>
      </c>
      <c r="AB82" s="164">
        <v>124.21</v>
      </c>
      <c r="AC82" s="164">
        <v>22.36</v>
      </c>
      <c r="AD82" s="164">
        <v>0</v>
      </c>
      <c r="AE82" s="164">
        <v>519</v>
      </c>
      <c r="AF82" s="164">
        <v>0</v>
      </c>
      <c r="AG82" s="164">
        <v>0</v>
      </c>
      <c r="AH82" s="164">
        <v>0.52</v>
      </c>
      <c r="AI82" s="164">
        <v>25.95</v>
      </c>
      <c r="AJ82" s="164">
        <v>0</v>
      </c>
      <c r="AK82" s="164">
        <v>48.83</v>
      </c>
      <c r="AL82" s="164">
        <v>0</v>
      </c>
      <c r="AM82" s="164">
        <v>0</v>
      </c>
      <c r="AN82" s="164">
        <v>0</v>
      </c>
      <c r="AO82" s="164">
        <v>0</v>
      </c>
      <c r="AP82" s="164">
        <v>0</v>
      </c>
      <c r="AQ82" s="164">
        <v>0</v>
      </c>
      <c r="AR82" s="164">
        <v>0</v>
      </c>
      <c r="AS82" s="164">
        <v>0</v>
      </c>
      <c r="AT82" s="164">
        <v>0</v>
      </c>
      <c r="AU82" s="164">
        <v>173.04</v>
      </c>
      <c r="AV82" s="164">
        <v>0</v>
      </c>
      <c r="AW82" s="164">
        <v>371.91</v>
      </c>
      <c r="AX82" s="164" t="s">
        <v>224</v>
      </c>
      <c r="AY82" s="164" t="s">
        <v>380</v>
      </c>
      <c r="AZ82" s="164" t="s">
        <v>381</v>
      </c>
      <c r="BA82" s="164">
        <v>0</v>
      </c>
      <c r="BB82" s="164" t="s">
        <v>511</v>
      </c>
    </row>
    <row r="83" spans="1:54">
      <c r="A83" s="164" t="s">
        <v>512</v>
      </c>
      <c r="B83" s="164" t="s">
        <v>513</v>
      </c>
      <c r="C83" s="164" t="s">
        <v>514</v>
      </c>
      <c r="D83" s="164" t="s">
        <v>48</v>
      </c>
      <c r="E83" s="164" t="s">
        <v>218</v>
      </c>
      <c r="F83" s="164" t="s">
        <v>219</v>
      </c>
      <c r="G83" s="164" t="s">
        <v>220</v>
      </c>
      <c r="H83" s="164" t="s">
        <v>221</v>
      </c>
      <c r="I83" s="164" t="s">
        <v>222</v>
      </c>
      <c r="J83" s="164" t="s">
        <v>220</v>
      </c>
      <c r="K83" s="164" t="s">
        <v>220</v>
      </c>
      <c r="L83" s="164" t="s">
        <v>220</v>
      </c>
      <c r="M83" s="164" t="s">
        <v>223</v>
      </c>
      <c r="N83" s="164" t="s">
        <v>93</v>
      </c>
      <c r="O83" s="164">
        <v>425</v>
      </c>
      <c r="P83" s="164">
        <v>0</v>
      </c>
      <c r="Q83" s="164">
        <v>0</v>
      </c>
      <c r="R83" s="164">
        <v>0</v>
      </c>
      <c r="S83" s="164">
        <v>0</v>
      </c>
      <c r="T83" s="164">
        <v>0</v>
      </c>
      <c r="U83" s="164">
        <v>0</v>
      </c>
      <c r="V83" s="164">
        <v>21.25</v>
      </c>
      <c r="W83" s="164">
        <v>446.25</v>
      </c>
      <c r="X83" s="164">
        <v>425</v>
      </c>
      <c r="Y83" s="164">
        <v>22</v>
      </c>
      <c r="Z83" s="164">
        <v>93.5</v>
      </c>
      <c r="AA83" s="164">
        <v>8.2100000000000009</v>
      </c>
      <c r="AB83" s="164">
        <v>101.71</v>
      </c>
      <c r="AC83" s="164">
        <v>18.309999999999999</v>
      </c>
      <c r="AD83" s="164">
        <v>0</v>
      </c>
      <c r="AE83" s="164">
        <v>425</v>
      </c>
      <c r="AF83" s="164">
        <v>0</v>
      </c>
      <c r="AG83" s="164">
        <v>0</v>
      </c>
      <c r="AH83" s="164">
        <v>0.42</v>
      </c>
      <c r="AI83" s="164">
        <v>21.25</v>
      </c>
      <c r="AJ83" s="164">
        <v>0</v>
      </c>
      <c r="AK83" s="164">
        <v>39.979999999999997</v>
      </c>
      <c r="AL83" s="164">
        <v>0</v>
      </c>
      <c r="AM83" s="164">
        <v>0</v>
      </c>
      <c r="AN83" s="164">
        <v>0</v>
      </c>
      <c r="AO83" s="164">
        <v>0</v>
      </c>
      <c r="AP83" s="164">
        <v>0</v>
      </c>
      <c r="AQ83" s="164">
        <v>0</v>
      </c>
      <c r="AR83" s="164">
        <v>0</v>
      </c>
      <c r="AS83" s="164">
        <v>0</v>
      </c>
      <c r="AT83" s="164">
        <v>0</v>
      </c>
      <c r="AU83" s="164">
        <v>141.69</v>
      </c>
      <c r="AV83" s="164">
        <v>0</v>
      </c>
      <c r="AW83" s="164">
        <v>304.56</v>
      </c>
      <c r="AX83" s="164" t="s">
        <v>224</v>
      </c>
      <c r="AY83" s="164" t="s">
        <v>380</v>
      </c>
      <c r="AZ83" s="164" t="s">
        <v>381</v>
      </c>
      <c r="BA83" s="164">
        <v>0</v>
      </c>
      <c r="BB83" s="164" t="s">
        <v>515</v>
      </c>
    </row>
    <row r="84" spans="1:54">
      <c r="A84" s="164" t="s">
        <v>516</v>
      </c>
      <c r="B84" s="164" t="s">
        <v>517</v>
      </c>
      <c r="C84" s="164" t="s">
        <v>518</v>
      </c>
      <c r="D84" s="164" t="s">
        <v>48</v>
      </c>
      <c r="E84" s="164" t="s">
        <v>218</v>
      </c>
      <c r="F84" s="164" t="s">
        <v>219</v>
      </c>
      <c r="G84" s="164" t="s">
        <v>220</v>
      </c>
      <c r="H84" s="164" t="s">
        <v>221</v>
      </c>
      <c r="I84" s="164" t="s">
        <v>222</v>
      </c>
      <c r="J84" s="164" t="s">
        <v>220</v>
      </c>
      <c r="K84" s="164" t="s">
        <v>220</v>
      </c>
      <c r="L84" s="164" t="s">
        <v>220</v>
      </c>
      <c r="M84" s="164" t="s">
        <v>223</v>
      </c>
      <c r="N84" s="164" t="s">
        <v>93</v>
      </c>
      <c r="O84" s="164">
        <v>519</v>
      </c>
      <c r="P84" s="164">
        <v>0</v>
      </c>
      <c r="Q84" s="164">
        <v>0</v>
      </c>
      <c r="R84" s="164">
        <v>0</v>
      </c>
      <c r="S84" s="164">
        <v>0</v>
      </c>
      <c r="T84" s="164">
        <v>0</v>
      </c>
      <c r="U84" s="164">
        <v>0</v>
      </c>
      <c r="V84" s="164">
        <v>25.95</v>
      </c>
      <c r="W84" s="164">
        <v>544.95000000000005</v>
      </c>
      <c r="X84" s="164">
        <v>519</v>
      </c>
      <c r="Y84" s="164">
        <v>22</v>
      </c>
      <c r="Z84" s="164">
        <v>114.18</v>
      </c>
      <c r="AA84" s="164">
        <v>10.029999999999999</v>
      </c>
      <c r="AB84" s="164">
        <v>124.21</v>
      </c>
      <c r="AC84" s="164">
        <v>22.36</v>
      </c>
      <c r="AD84" s="164">
        <v>0</v>
      </c>
      <c r="AE84" s="164">
        <v>519</v>
      </c>
      <c r="AF84" s="164">
        <v>0</v>
      </c>
      <c r="AG84" s="164">
        <v>0</v>
      </c>
      <c r="AH84" s="164">
        <v>0.52</v>
      </c>
      <c r="AI84" s="164">
        <v>25.95</v>
      </c>
      <c r="AJ84" s="164">
        <v>0</v>
      </c>
      <c r="AK84" s="164">
        <v>48.83</v>
      </c>
      <c r="AL84" s="164">
        <v>0</v>
      </c>
      <c r="AM84" s="164">
        <v>0</v>
      </c>
      <c r="AN84" s="164">
        <v>0</v>
      </c>
      <c r="AO84" s="164">
        <v>0</v>
      </c>
      <c r="AP84" s="164">
        <v>0</v>
      </c>
      <c r="AQ84" s="164">
        <v>0</v>
      </c>
      <c r="AR84" s="164">
        <v>0</v>
      </c>
      <c r="AS84" s="164">
        <v>0</v>
      </c>
      <c r="AT84" s="164">
        <v>0</v>
      </c>
      <c r="AU84" s="164">
        <v>173.04</v>
      </c>
      <c r="AV84" s="164">
        <v>0</v>
      </c>
      <c r="AW84" s="164">
        <v>371.91</v>
      </c>
      <c r="AX84" s="164" t="s">
        <v>224</v>
      </c>
      <c r="AY84" s="164" t="s">
        <v>380</v>
      </c>
      <c r="AZ84" s="164" t="s">
        <v>381</v>
      </c>
      <c r="BA84" s="164">
        <v>0</v>
      </c>
      <c r="BB84" s="164" t="s">
        <v>519</v>
      </c>
    </row>
    <row r="85" spans="1:54">
      <c r="A85" s="164" t="s">
        <v>520</v>
      </c>
      <c r="B85" s="164" t="s">
        <v>521</v>
      </c>
      <c r="C85" s="164" t="s">
        <v>522</v>
      </c>
      <c r="D85" s="164" t="s">
        <v>48</v>
      </c>
      <c r="E85" s="164" t="s">
        <v>218</v>
      </c>
      <c r="F85" s="164" t="s">
        <v>219</v>
      </c>
      <c r="G85" s="164" t="s">
        <v>220</v>
      </c>
      <c r="H85" s="164" t="s">
        <v>221</v>
      </c>
      <c r="I85" s="164" t="s">
        <v>222</v>
      </c>
      <c r="J85" s="164" t="s">
        <v>220</v>
      </c>
      <c r="K85" s="164" t="s">
        <v>220</v>
      </c>
      <c r="L85" s="164" t="s">
        <v>220</v>
      </c>
      <c r="M85" s="164" t="s">
        <v>223</v>
      </c>
      <c r="N85" s="164" t="s">
        <v>93</v>
      </c>
      <c r="O85" s="164">
        <v>229</v>
      </c>
      <c r="P85" s="164">
        <v>0</v>
      </c>
      <c r="Q85" s="164">
        <v>0</v>
      </c>
      <c r="R85" s="164">
        <v>0</v>
      </c>
      <c r="S85" s="164">
        <v>0</v>
      </c>
      <c r="T85" s="164">
        <v>0</v>
      </c>
      <c r="U85" s="164">
        <v>0</v>
      </c>
      <c r="V85" s="164">
        <v>11.45</v>
      </c>
      <c r="W85" s="164">
        <v>240.45</v>
      </c>
      <c r="X85" s="164">
        <v>229</v>
      </c>
      <c r="Y85" s="164">
        <v>22</v>
      </c>
      <c r="Z85" s="164">
        <v>50.38</v>
      </c>
      <c r="AA85" s="164">
        <v>4.42</v>
      </c>
      <c r="AB85" s="164">
        <v>54.8</v>
      </c>
      <c r="AC85" s="164">
        <v>9.8699999999999992</v>
      </c>
      <c r="AD85" s="164">
        <v>0</v>
      </c>
      <c r="AE85" s="164">
        <v>229</v>
      </c>
      <c r="AF85" s="164">
        <v>0</v>
      </c>
      <c r="AG85" s="164">
        <v>0</v>
      </c>
      <c r="AH85" s="164">
        <v>0.23</v>
      </c>
      <c r="AI85" s="164">
        <v>11.45</v>
      </c>
      <c r="AJ85" s="164">
        <v>0</v>
      </c>
      <c r="AK85" s="164">
        <v>21.55</v>
      </c>
      <c r="AL85" s="164">
        <v>0</v>
      </c>
      <c r="AM85" s="164">
        <v>0</v>
      </c>
      <c r="AN85" s="164">
        <v>0</v>
      </c>
      <c r="AO85" s="164">
        <v>0</v>
      </c>
      <c r="AP85" s="164">
        <v>0</v>
      </c>
      <c r="AQ85" s="164">
        <v>0</v>
      </c>
      <c r="AR85" s="164">
        <v>0</v>
      </c>
      <c r="AS85" s="164">
        <v>0</v>
      </c>
      <c r="AT85" s="164">
        <v>0</v>
      </c>
      <c r="AU85" s="164">
        <v>76.349999999999994</v>
      </c>
      <c r="AV85" s="164">
        <v>0</v>
      </c>
      <c r="AW85" s="164">
        <v>164.1</v>
      </c>
      <c r="AX85" s="164" t="s">
        <v>224</v>
      </c>
      <c r="AY85" s="164" t="s">
        <v>380</v>
      </c>
      <c r="AZ85" s="164" t="s">
        <v>381</v>
      </c>
      <c r="BA85" s="164">
        <v>0</v>
      </c>
      <c r="BB85" s="164" t="s">
        <v>523</v>
      </c>
    </row>
    <row r="86" spans="1:54">
      <c r="A86" s="164" t="s">
        <v>524</v>
      </c>
      <c r="B86" s="164" t="s">
        <v>525</v>
      </c>
      <c r="C86" s="164" t="s">
        <v>526</v>
      </c>
      <c r="D86" s="164" t="s">
        <v>48</v>
      </c>
      <c r="E86" s="164" t="s">
        <v>218</v>
      </c>
      <c r="F86" s="164" t="s">
        <v>219</v>
      </c>
      <c r="G86" s="164" t="s">
        <v>220</v>
      </c>
      <c r="H86" s="164" t="s">
        <v>221</v>
      </c>
      <c r="I86" s="164" t="s">
        <v>222</v>
      </c>
      <c r="J86" s="164" t="s">
        <v>220</v>
      </c>
      <c r="K86" s="164" t="s">
        <v>220</v>
      </c>
      <c r="L86" s="164" t="s">
        <v>220</v>
      </c>
      <c r="M86" s="164" t="s">
        <v>223</v>
      </c>
      <c r="N86" s="164" t="s">
        <v>93</v>
      </c>
      <c r="O86" s="164">
        <v>229</v>
      </c>
      <c r="P86" s="164">
        <v>0</v>
      </c>
      <c r="Q86" s="164">
        <v>0</v>
      </c>
      <c r="R86" s="164">
        <v>0</v>
      </c>
      <c r="S86" s="164">
        <v>0</v>
      </c>
      <c r="T86" s="164">
        <v>0</v>
      </c>
      <c r="U86" s="164">
        <v>0</v>
      </c>
      <c r="V86" s="164">
        <v>11.45</v>
      </c>
      <c r="W86" s="164">
        <v>240.45</v>
      </c>
      <c r="X86" s="164">
        <v>229</v>
      </c>
      <c r="Y86" s="164">
        <v>22</v>
      </c>
      <c r="Z86" s="164">
        <v>50.38</v>
      </c>
      <c r="AA86" s="164">
        <v>4.42</v>
      </c>
      <c r="AB86" s="164">
        <v>54.8</v>
      </c>
      <c r="AC86" s="164">
        <v>9.8699999999999992</v>
      </c>
      <c r="AD86" s="164">
        <v>0</v>
      </c>
      <c r="AE86" s="164">
        <v>229</v>
      </c>
      <c r="AF86" s="164">
        <v>0</v>
      </c>
      <c r="AG86" s="164">
        <v>0</v>
      </c>
      <c r="AH86" s="164">
        <v>0.23</v>
      </c>
      <c r="AI86" s="164">
        <v>11.45</v>
      </c>
      <c r="AJ86" s="164">
        <v>0</v>
      </c>
      <c r="AK86" s="164">
        <v>21.55</v>
      </c>
      <c r="AL86" s="164">
        <v>0</v>
      </c>
      <c r="AM86" s="164">
        <v>0</v>
      </c>
      <c r="AN86" s="164">
        <v>0</v>
      </c>
      <c r="AO86" s="164">
        <v>0</v>
      </c>
      <c r="AP86" s="164">
        <v>0</v>
      </c>
      <c r="AQ86" s="164">
        <v>0</v>
      </c>
      <c r="AR86" s="164">
        <v>0</v>
      </c>
      <c r="AS86" s="164">
        <v>0</v>
      </c>
      <c r="AT86" s="164">
        <v>0</v>
      </c>
      <c r="AU86" s="164">
        <v>76.349999999999994</v>
      </c>
      <c r="AV86" s="164">
        <v>0</v>
      </c>
      <c r="AW86" s="164">
        <v>164.1</v>
      </c>
      <c r="AX86" s="164" t="s">
        <v>224</v>
      </c>
      <c r="AY86" s="164" t="s">
        <v>380</v>
      </c>
      <c r="AZ86" s="164" t="s">
        <v>381</v>
      </c>
      <c r="BA86" s="164">
        <v>0</v>
      </c>
      <c r="BB86" s="164" t="s">
        <v>527</v>
      </c>
    </row>
    <row r="87" spans="1:54">
      <c r="A87" s="164" t="s">
        <v>528</v>
      </c>
      <c r="B87" s="164" t="s">
        <v>529</v>
      </c>
      <c r="C87" s="164" t="s">
        <v>530</v>
      </c>
      <c r="D87" s="164" t="s">
        <v>48</v>
      </c>
      <c r="E87" s="164" t="s">
        <v>218</v>
      </c>
      <c r="F87" s="164" t="s">
        <v>219</v>
      </c>
      <c r="G87" s="164" t="s">
        <v>220</v>
      </c>
      <c r="H87" s="164" t="s">
        <v>221</v>
      </c>
      <c r="I87" s="164" t="s">
        <v>222</v>
      </c>
      <c r="J87" s="164" t="s">
        <v>220</v>
      </c>
      <c r="K87" s="164" t="s">
        <v>220</v>
      </c>
      <c r="L87" s="164" t="s">
        <v>220</v>
      </c>
      <c r="M87" s="164" t="s">
        <v>223</v>
      </c>
      <c r="N87" s="164" t="s">
        <v>93</v>
      </c>
      <c r="O87" s="164">
        <v>398</v>
      </c>
      <c r="P87" s="164">
        <v>0</v>
      </c>
      <c r="Q87" s="164">
        <v>0</v>
      </c>
      <c r="R87" s="164">
        <v>0</v>
      </c>
      <c r="S87" s="164">
        <v>0</v>
      </c>
      <c r="T87" s="164">
        <v>0</v>
      </c>
      <c r="U87" s="164">
        <v>0</v>
      </c>
      <c r="V87" s="164">
        <v>19.899999999999999</v>
      </c>
      <c r="W87" s="164">
        <v>417.9</v>
      </c>
      <c r="X87" s="164">
        <v>398</v>
      </c>
      <c r="Y87" s="164">
        <v>22</v>
      </c>
      <c r="Z87" s="164">
        <v>87.56</v>
      </c>
      <c r="AA87" s="164">
        <v>7.69</v>
      </c>
      <c r="AB87" s="164">
        <v>95.25</v>
      </c>
      <c r="AC87" s="164">
        <v>17.14</v>
      </c>
      <c r="AD87" s="164">
        <v>0</v>
      </c>
      <c r="AE87" s="164">
        <v>398</v>
      </c>
      <c r="AF87" s="164">
        <v>0</v>
      </c>
      <c r="AG87" s="164">
        <v>0</v>
      </c>
      <c r="AH87" s="164">
        <v>0.4</v>
      </c>
      <c r="AI87" s="164">
        <v>19.899999999999999</v>
      </c>
      <c r="AJ87" s="164">
        <v>0</v>
      </c>
      <c r="AK87" s="164">
        <v>37.44</v>
      </c>
      <c r="AL87" s="164">
        <v>0</v>
      </c>
      <c r="AM87" s="164">
        <v>0</v>
      </c>
      <c r="AN87" s="164">
        <v>0</v>
      </c>
      <c r="AO87" s="164">
        <v>0</v>
      </c>
      <c r="AP87" s="164">
        <v>0</v>
      </c>
      <c r="AQ87" s="164">
        <v>0</v>
      </c>
      <c r="AR87" s="164">
        <v>0</v>
      </c>
      <c r="AS87" s="164">
        <v>0</v>
      </c>
      <c r="AT87" s="164">
        <v>0</v>
      </c>
      <c r="AU87" s="164">
        <v>132.69</v>
      </c>
      <c r="AV87" s="164">
        <v>0</v>
      </c>
      <c r="AW87" s="164">
        <v>285.20999999999998</v>
      </c>
      <c r="AX87" s="164" t="s">
        <v>224</v>
      </c>
      <c r="AY87" s="164" t="s">
        <v>380</v>
      </c>
      <c r="AZ87" s="164" t="s">
        <v>381</v>
      </c>
      <c r="BA87" s="164">
        <v>0</v>
      </c>
      <c r="BB87" s="164" t="s">
        <v>531</v>
      </c>
    </row>
    <row r="88" spans="1:54">
      <c r="A88" s="164" t="s">
        <v>532</v>
      </c>
      <c r="B88" s="164" t="s">
        <v>533</v>
      </c>
      <c r="C88" s="164" t="s">
        <v>534</v>
      </c>
      <c r="D88" s="164" t="s">
        <v>48</v>
      </c>
      <c r="E88" s="164" t="s">
        <v>218</v>
      </c>
      <c r="F88" s="164" t="s">
        <v>219</v>
      </c>
      <c r="G88" s="164" t="s">
        <v>220</v>
      </c>
      <c r="H88" s="164" t="s">
        <v>221</v>
      </c>
      <c r="I88" s="164" t="s">
        <v>222</v>
      </c>
      <c r="J88" s="164" t="s">
        <v>220</v>
      </c>
      <c r="K88" s="164" t="s">
        <v>220</v>
      </c>
      <c r="L88" s="164" t="s">
        <v>220</v>
      </c>
      <c r="M88" s="164" t="s">
        <v>223</v>
      </c>
      <c r="N88" s="164" t="s">
        <v>93</v>
      </c>
      <c r="O88" s="164">
        <v>218</v>
      </c>
      <c r="P88" s="164">
        <v>0</v>
      </c>
      <c r="Q88" s="164">
        <v>0</v>
      </c>
      <c r="R88" s="164">
        <v>0</v>
      </c>
      <c r="S88" s="164">
        <v>0</v>
      </c>
      <c r="T88" s="164">
        <v>0</v>
      </c>
      <c r="U88" s="164">
        <v>0</v>
      </c>
      <c r="V88" s="164">
        <v>10.9</v>
      </c>
      <c r="W88" s="164">
        <v>228.9</v>
      </c>
      <c r="X88" s="164">
        <v>218</v>
      </c>
      <c r="Y88" s="164">
        <v>22</v>
      </c>
      <c r="Z88" s="164">
        <v>47.96</v>
      </c>
      <c r="AA88" s="164">
        <v>4.21</v>
      </c>
      <c r="AB88" s="164">
        <v>52.17</v>
      </c>
      <c r="AC88" s="164">
        <v>9.39</v>
      </c>
      <c r="AD88" s="164">
        <v>0</v>
      </c>
      <c r="AE88" s="164">
        <v>218</v>
      </c>
      <c r="AF88" s="164">
        <v>0</v>
      </c>
      <c r="AG88" s="164">
        <v>0</v>
      </c>
      <c r="AH88" s="164">
        <v>0.22</v>
      </c>
      <c r="AI88" s="164">
        <v>10.9</v>
      </c>
      <c r="AJ88" s="164">
        <v>0</v>
      </c>
      <c r="AK88" s="164">
        <v>20.51</v>
      </c>
      <c r="AL88" s="164">
        <v>0</v>
      </c>
      <c r="AM88" s="164">
        <v>0</v>
      </c>
      <c r="AN88" s="164">
        <v>0</v>
      </c>
      <c r="AO88" s="164">
        <v>0</v>
      </c>
      <c r="AP88" s="164">
        <v>0</v>
      </c>
      <c r="AQ88" s="164">
        <v>0</v>
      </c>
      <c r="AR88" s="164">
        <v>0</v>
      </c>
      <c r="AS88" s="164">
        <v>0</v>
      </c>
      <c r="AT88" s="164">
        <v>0</v>
      </c>
      <c r="AU88" s="164">
        <v>72.680000000000007</v>
      </c>
      <c r="AV88" s="164">
        <v>0</v>
      </c>
      <c r="AW88" s="164">
        <v>156.22</v>
      </c>
      <c r="AX88" s="164" t="s">
        <v>224</v>
      </c>
      <c r="AY88" s="164" t="s">
        <v>380</v>
      </c>
      <c r="AZ88" s="164" t="s">
        <v>381</v>
      </c>
      <c r="BA88" s="164">
        <v>0</v>
      </c>
      <c r="BB88" s="164" t="s">
        <v>535</v>
      </c>
    </row>
    <row r="89" spans="1:54">
      <c r="A89" s="164" t="s">
        <v>536</v>
      </c>
      <c r="B89" s="164" t="s">
        <v>537</v>
      </c>
      <c r="C89" s="164" t="s">
        <v>538</v>
      </c>
      <c r="D89" s="164" t="s">
        <v>48</v>
      </c>
      <c r="E89" s="164" t="s">
        <v>218</v>
      </c>
      <c r="F89" s="164" t="s">
        <v>219</v>
      </c>
      <c r="G89" s="164" t="s">
        <v>220</v>
      </c>
      <c r="H89" s="164" t="s">
        <v>221</v>
      </c>
      <c r="I89" s="164" t="s">
        <v>222</v>
      </c>
      <c r="J89" s="164" t="s">
        <v>220</v>
      </c>
      <c r="K89" s="164" t="s">
        <v>220</v>
      </c>
      <c r="L89" s="164" t="s">
        <v>220</v>
      </c>
      <c r="M89" s="164" t="s">
        <v>223</v>
      </c>
      <c r="N89" s="164" t="s">
        <v>93</v>
      </c>
      <c r="O89" s="164">
        <v>468</v>
      </c>
      <c r="P89" s="164">
        <v>0</v>
      </c>
      <c r="Q89" s="164">
        <v>0</v>
      </c>
      <c r="R89" s="164">
        <v>0</v>
      </c>
      <c r="S89" s="164">
        <v>0</v>
      </c>
      <c r="T89" s="164">
        <v>0</v>
      </c>
      <c r="U89" s="164">
        <v>0</v>
      </c>
      <c r="V89" s="164">
        <v>23.4</v>
      </c>
      <c r="W89" s="164">
        <v>491.4</v>
      </c>
      <c r="X89" s="164">
        <v>468</v>
      </c>
      <c r="Y89" s="164">
        <v>22</v>
      </c>
      <c r="Z89" s="164">
        <v>102.96</v>
      </c>
      <c r="AA89" s="164">
        <v>9.0399999999999991</v>
      </c>
      <c r="AB89" s="164">
        <v>112</v>
      </c>
      <c r="AC89" s="164">
        <v>20.16</v>
      </c>
      <c r="AD89" s="164">
        <v>0</v>
      </c>
      <c r="AE89" s="164">
        <v>468</v>
      </c>
      <c r="AF89" s="164">
        <v>0</v>
      </c>
      <c r="AG89" s="164">
        <v>0</v>
      </c>
      <c r="AH89" s="164">
        <v>0.47</v>
      </c>
      <c r="AI89" s="164">
        <v>23.4</v>
      </c>
      <c r="AJ89" s="164">
        <v>0</v>
      </c>
      <c r="AK89" s="164">
        <v>44.03</v>
      </c>
      <c r="AL89" s="164">
        <v>0</v>
      </c>
      <c r="AM89" s="164">
        <v>0</v>
      </c>
      <c r="AN89" s="164">
        <v>0</v>
      </c>
      <c r="AO89" s="164">
        <v>0</v>
      </c>
      <c r="AP89" s="164">
        <v>0</v>
      </c>
      <c r="AQ89" s="164">
        <v>0</v>
      </c>
      <c r="AR89" s="164">
        <v>0</v>
      </c>
      <c r="AS89" s="164">
        <v>0</v>
      </c>
      <c r="AT89" s="164">
        <v>0</v>
      </c>
      <c r="AU89" s="164">
        <v>156.03</v>
      </c>
      <c r="AV89" s="164">
        <v>0</v>
      </c>
      <c r="AW89" s="164">
        <v>335.37</v>
      </c>
      <c r="AX89" s="164" t="s">
        <v>224</v>
      </c>
      <c r="AY89" s="164" t="s">
        <v>380</v>
      </c>
      <c r="AZ89" s="164" t="s">
        <v>381</v>
      </c>
      <c r="BA89" s="164">
        <v>0</v>
      </c>
      <c r="BB89" s="164" t="s">
        <v>539</v>
      </c>
    </row>
    <row r="90" spans="1:54">
      <c r="A90" s="164" t="s">
        <v>540</v>
      </c>
      <c r="B90" s="164" t="s">
        <v>541</v>
      </c>
      <c r="C90" s="164" t="s">
        <v>542</v>
      </c>
      <c r="D90" s="164" t="s">
        <v>48</v>
      </c>
      <c r="E90" s="164" t="s">
        <v>218</v>
      </c>
      <c r="F90" s="164" t="s">
        <v>219</v>
      </c>
      <c r="G90" s="164" t="s">
        <v>220</v>
      </c>
      <c r="H90" s="164" t="s">
        <v>221</v>
      </c>
      <c r="I90" s="164" t="s">
        <v>222</v>
      </c>
      <c r="J90" s="164" t="s">
        <v>220</v>
      </c>
      <c r="K90" s="164" t="s">
        <v>220</v>
      </c>
      <c r="L90" s="164" t="s">
        <v>220</v>
      </c>
      <c r="M90" s="164" t="s">
        <v>223</v>
      </c>
      <c r="N90" s="164" t="s">
        <v>93</v>
      </c>
      <c r="O90" s="164">
        <v>687</v>
      </c>
      <c r="P90" s="164">
        <v>0</v>
      </c>
      <c r="Q90" s="164">
        <v>0</v>
      </c>
      <c r="R90" s="164">
        <v>0</v>
      </c>
      <c r="S90" s="164">
        <v>0</v>
      </c>
      <c r="T90" s="164">
        <v>0</v>
      </c>
      <c r="U90" s="164">
        <v>0</v>
      </c>
      <c r="V90" s="164">
        <v>34.35</v>
      </c>
      <c r="W90" s="164">
        <v>721.35</v>
      </c>
      <c r="X90" s="164">
        <v>687</v>
      </c>
      <c r="Y90" s="164">
        <v>22</v>
      </c>
      <c r="Z90" s="164">
        <v>151.13999999999999</v>
      </c>
      <c r="AA90" s="164">
        <v>13.27</v>
      </c>
      <c r="AB90" s="164">
        <v>164.41</v>
      </c>
      <c r="AC90" s="164">
        <v>29.6</v>
      </c>
      <c r="AD90" s="164">
        <v>0</v>
      </c>
      <c r="AE90" s="164">
        <v>687</v>
      </c>
      <c r="AF90" s="164">
        <v>0</v>
      </c>
      <c r="AG90" s="164">
        <v>0</v>
      </c>
      <c r="AH90" s="164">
        <v>0.69</v>
      </c>
      <c r="AI90" s="164">
        <v>34.35</v>
      </c>
      <c r="AJ90" s="164">
        <v>0</v>
      </c>
      <c r="AK90" s="164">
        <v>64.64</v>
      </c>
      <c r="AL90" s="164">
        <v>0</v>
      </c>
      <c r="AM90" s="164">
        <v>0</v>
      </c>
      <c r="AN90" s="164">
        <v>0</v>
      </c>
      <c r="AO90" s="164">
        <v>0</v>
      </c>
      <c r="AP90" s="164">
        <v>0</v>
      </c>
      <c r="AQ90" s="164">
        <v>0</v>
      </c>
      <c r="AR90" s="164">
        <v>0</v>
      </c>
      <c r="AS90" s="164">
        <v>0</v>
      </c>
      <c r="AT90" s="164">
        <v>0</v>
      </c>
      <c r="AU90" s="164">
        <v>229.05</v>
      </c>
      <c r="AV90" s="164">
        <v>0</v>
      </c>
      <c r="AW90" s="164">
        <v>492.3</v>
      </c>
      <c r="AX90" s="164" t="s">
        <v>224</v>
      </c>
      <c r="AY90" s="164" t="s">
        <v>380</v>
      </c>
      <c r="AZ90" s="164" t="s">
        <v>381</v>
      </c>
      <c r="BA90" s="164">
        <v>0</v>
      </c>
      <c r="BB90" s="164" t="s">
        <v>543</v>
      </c>
    </row>
    <row r="91" spans="1:54">
      <c r="A91" s="164" t="s">
        <v>544</v>
      </c>
      <c r="B91" s="164" t="s">
        <v>545</v>
      </c>
      <c r="C91" s="164" t="s">
        <v>546</v>
      </c>
      <c r="D91" s="164" t="s">
        <v>48</v>
      </c>
      <c r="E91" s="164" t="s">
        <v>218</v>
      </c>
      <c r="F91" s="164" t="s">
        <v>219</v>
      </c>
      <c r="G91" s="164" t="s">
        <v>220</v>
      </c>
      <c r="H91" s="164" t="s">
        <v>221</v>
      </c>
      <c r="I91" s="164" t="s">
        <v>222</v>
      </c>
      <c r="J91" s="164" t="s">
        <v>220</v>
      </c>
      <c r="K91" s="164" t="s">
        <v>220</v>
      </c>
      <c r="L91" s="164" t="s">
        <v>220</v>
      </c>
      <c r="M91" s="164" t="s">
        <v>223</v>
      </c>
      <c r="N91" s="164" t="s">
        <v>93</v>
      </c>
      <c r="O91" s="164">
        <v>748</v>
      </c>
      <c r="P91" s="164">
        <v>0</v>
      </c>
      <c r="Q91" s="164">
        <v>0</v>
      </c>
      <c r="R91" s="164">
        <v>0</v>
      </c>
      <c r="S91" s="164">
        <v>0</v>
      </c>
      <c r="T91" s="164">
        <v>0</v>
      </c>
      <c r="U91" s="164">
        <v>0</v>
      </c>
      <c r="V91" s="164">
        <v>37.4</v>
      </c>
      <c r="W91" s="164">
        <v>785.4</v>
      </c>
      <c r="X91" s="164">
        <v>748</v>
      </c>
      <c r="Y91" s="164">
        <v>22</v>
      </c>
      <c r="Z91" s="164">
        <v>164.56</v>
      </c>
      <c r="AA91" s="164">
        <v>14.45</v>
      </c>
      <c r="AB91" s="164">
        <v>179.01</v>
      </c>
      <c r="AC91" s="164">
        <v>32.22</v>
      </c>
      <c r="AD91" s="164">
        <v>0</v>
      </c>
      <c r="AE91" s="164">
        <v>748</v>
      </c>
      <c r="AF91" s="164">
        <v>0</v>
      </c>
      <c r="AG91" s="164">
        <v>0</v>
      </c>
      <c r="AH91" s="164">
        <v>0.75</v>
      </c>
      <c r="AI91" s="164">
        <v>37.4</v>
      </c>
      <c r="AJ91" s="164">
        <v>0</v>
      </c>
      <c r="AK91" s="164">
        <v>70.37</v>
      </c>
      <c r="AL91" s="164">
        <v>0</v>
      </c>
      <c r="AM91" s="164">
        <v>0</v>
      </c>
      <c r="AN91" s="164">
        <v>0</v>
      </c>
      <c r="AO91" s="164">
        <v>0</v>
      </c>
      <c r="AP91" s="164">
        <v>0</v>
      </c>
      <c r="AQ91" s="164">
        <v>0</v>
      </c>
      <c r="AR91" s="164">
        <v>0</v>
      </c>
      <c r="AS91" s="164">
        <v>0</v>
      </c>
      <c r="AT91" s="164">
        <v>0</v>
      </c>
      <c r="AU91" s="164">
        <v>249.38</v>
      </c>
      <c r="AV91" s="164">
        <v>0</v>
      </c>
      <c r="AW91" s="164">
        <v>536.02</v>
      </c>
      <c r="AX91" s="164" t="s">
        <v>224</v>
      </c>
      <c r="AY91" s="164" t="s">
        <v>380</v>
      </c>
      <c r="AZ91" s="164" t="s">
        <v>381</v>
      </c>
      <c r="BA91" s="164">
        <v>0</v>
      </c>
      <c r="BB91" s="164" t="s">
        <v>547</v>
      </c>
    </row>
    <row r="92" spans="1:54">
      <c r="A92" s="164" t="s">
        <v>548</v>
      </c>
      <c r="B92" s="164" t="s">
        <v>549</v>
      </c>
      <c r="C92" s="164" t="s">
        <v>550</v>
      </c>
      <c r="D92" s="164" t="s">
        <v>48</v>
      </c>
      <c r="E92" s="164" t="s">
        <v>218</v>
      </c>
      <c r="F92" s="164" t="s">
        <v>219</v>
      </c>
      <c r="G92" s="164" t="s">
        <v>220</v>
      </c>
      <c r="H92" s="164" t="s">
        <v>221</v>
      </c>
      <c r="I92" s="164" t="s">
        <v>222</v>
      </c>
      <c r="J92" s="164" t="s">
        <v>220</v>
      </c>
      <c r="K92" s="164" t="s">
        <v>220</v>
      </c>
      <c r="L92" s="164" t="s">
        <v>220</v>
      </c>
      <c r="M92" s="164" t="s">
        <v>223</v>
      </c>
      <c r="N92" s="164" t="s">
        <v>93</v>
      </c>
      <c r="O92" s="164">
        <v>229</v>
      </c>
      <c r="P92" s="164">
        <v>0</v>
      </c>
      <c r="Q92" s="164">
        <v>0</v>
      </c>
      <c r="R92" s="164">
        <v>0</v>
      </c>
      <c r="S92" s="164">
        <v>0</v>
      </c>
      <c r="T92" s="164">
        <v>0</v>
      </c>
      <c r="U92" s="164">
        <v>0</v>
      </c>
      <c r="V92" s="164">
        <v>11.45</v>
      </c>
      <c r="W92" s="164">
        <v>240.45</v>
      </c>
      <c r="X92" s="164">
        <v>229</v>
      </c>
      <c r="Y92" s="164">
        <v>22</v>
      </c>
      <c r="Z92" s="164">
        <v>50.38</v>
      </c>
      <c r="AA92" s="164">
        <v>4.42</v>
      </c>
      <c r="AB92" s="164">
        <v>54.8</v>
      </c>
      <c r="AC92" s="164">
        <v>9.8699999999999992</v>
      </c>
      <c r="AD92" s="164">
        <v>0</v>
      </c>
      <c r="AE92" s="164">
        <v>229</v>
      </c>
      <c r="AF92" s="164">
        <v>0</v>
      </c>
      <c r="AG92" s="164">
        <v>0</v>
      </c>
      <c r="AH92" s="164">
        <v>0.23</v>
      </c>
      <c r="AI92" s="164">
        <v>11.45</v>
      </c>
      <c r="AJ92" s="164">
        <v>0</v>
      </c>
      <c r="AK92" s="164">
        <v>21.55</v>
      </c>
      <c r="AL92" s="164">
        <v>0</v>
      </c>
      <c r="AM92" s="164">
        <v>0</v>
      </c>
      <c r="AN92" s="164">
        <v>0</v>
      </c>
      <c r="AO92" s="164">
        <v>0</v>
      </c>
      <c r="AP92" s="164">
        <v>0</v>
      </c>
      <c r="AQ92" s="164">
        <v>0</v>
      </c>
      <c r="AR92" s="164">
        <v>0</v>
      </c>
      <c r="AS92" s="164">
        <v>0</v>
      </c>
      <c r="AT92" s="164">
        <v>0</v>
      </c>
      <c r="AU92" s="164">
        <v>76.349999999999994</v>
      </c>
      <c r="AV92" s="164">
        <v>0</v>
      </c>
      <c r="AW92" s="164">
        <v>164.1</v>
      </c>
      <c r="AX92" s="164" t="s">
        <v>224</v>
      </c>
      <c r="AY92" s="164" t="s">
        <v>380</v>
      </c>
      <c r="AZ92" s="164" t="s">
        <v>381</v>
      </c>
      <c r="BA92" s="164">
        <v>0</v>
      </c>
      <c r="BB92" s="164" t="s">
        <v>551</v>
      </c>
    </row>
    <row r="93" spans="1:54">
      <c r="A93" s="164" t="s">
        <v>552</v>
      </c>
      <c r="B93" s="164" t="s">
        <v>553</v>
      </c>
      <c r="C93" s="164" t="s">
        <v>554</v>
      </c>
      <c r="D93" s="164" t="s">
        <v>48</v>
      </c>
      <c r="E93" s="164" t="s">
        <v>218</v>
      </c>
      <c r="F93" s="164" t="s">
        <v>219</v>
      </c>
      <c r="G93" s="164" t="s">
        <v>220</v>
      </c>
      <c r="H93" s="164" t="s">
        <v>221</v>
      </c>
      <c r="I93" s="164" t="s">
        <v>222</v>
      </c>
      <c r="J93" s="164" t="s">
        <v>220</v>
      </c>
      <c r="K93" s="164" t="s">
        <v>220</v>
      </c>
      <c r="L93" s="164" t="s">
        <v>220</v>
      </c>
      <c r="M93" s="164" t="s">
        <v>223</v>
      </c>
      <c r="N93" s="164" t="s">
        <v>93</v>
      </c>
      <c r="O93" s="164">
        <v>229</v>
      </c>
      <c r="P93" s="164">
        <v>0</v>
      </c>
      <c r="Q93" s="164">
        <v>0</v>
      </c>
      <c r="R93" s="164">
        <v>0</v>
      </c>
      <c r="S93" s="164">
        <v>0</v>
      </c>
      <c r="T93" s="164">
        <v>0</v>
      </c>
      <c r="U93" s="164">
        <v>0</v>
      </c>
      <c r="V93" s="164">
        <v>11.45</v>
      </c>
      <c r="W93" s="164">
        <v>240.45</v>
      </c>
      <c r="X93" s="164">
        <v>229</v>
      </c>
      <c r="Y93" s="164">
        <v>22</v>
      </c>
      <c r="Z93" s="164">
        <v>50.38</v>
      </c>
      <c r="AA93" s="164">
        <v>4.42</v>
      </c>
      <c r="AB93" s="164">
        <v>54.8</v>
      </c>
      <c r="AC93" s="164">
        <v>9.8699999999999992</v>
      </c>
      <c r="AD93" s="164">
        <v>0</v>
      </c>
      <c r="AE93" s="164">
        <v>229</v>
      </c>
      <c r="AF93" s="164">
        <v>0</v>
      </c>
      <c r="AG93" s="164">
        <v>0</v>
      </c>
      <c r="AH93" s="164">
        <v>0.23</v>
      </c>
      <c r="AI93" s="164">
        <v>11.45</v>
      </c>
      <c r="AJ93" s="164">
        <v>0</v>
      </c>
      <c r="AK93" s="164">
        <v>21.55</v>
      </c>
      <c r="AL93" s="164">
        <v>0</v>
      </c>
      <c r="AM93" s="164">
        <v>0</v>
      </c>
      <c r="AN93" s="164">
        <v>0</v>
      </c>
      <c r="AO93" s="164">
        <v>0</v>
      </c>
      <c r="AP93" s="164">
        <v>0</v>
      </c>
      <c r="AQ93" s="164">
        <v>0</v>
      </c>
      <c r="AR93" s="164">
        <v>0</v>
      </c>
      <c r="AS93" s="164">
        <v>0</v>
      </c>
      <c r="AT93" s="164">
        <v>0</v>
      </c>
      <c r="AU93" s="164">
        <v>76.349999999999994</v>
      </c>
      <c r="AV93" s="164">
        <v>0</v>
      </c>
      <c r="AW93" s="164">
        <v>164.1</v>
      </c>
      <c r="AX93" s="164" t="s">
        <v>224</v>
      </c>
      <c r="AY93" s="164" t="s">
        <v>380</v>
      </c>
      <c r="AZ93" s="164" t="s">
        <v>381</v>
      </c>
      <c r="BA93" s="164">
        <v>0</v>
      </c>
      <c r="BB93" s="164" t="s">
        <v>555</v>
      </c>
    </row>
    <row r="94" spans="1:54">
      <c r="A94" s="164" t="s">
        <v>556</v>
      </c>
      <c r="B94" s="164" t="s">
        <v>557</v>
      </c>
      <c r="C94" s="164" t="s">
        <v>558</v>
      </c>
      <c r="D94" s="164" t="s">
        <v>48</v>
      </c>
      <c r="E94" s="164" t="s">
        <v>218</v>
      </c>
      <c r="F94" s="164" t="s">
        <v>219</v>
      </c>
      <c r="G94" s="164" t="s">
        <v>220</v>
      </c>
      <c r="H94" s="164" t="s">
        <v>221</v>
      </c>
      <c r="I94" s="164" t="s">
        <v>222</v>
      </c>
      <c r="J94" s="164" t="s">
        <v>220</v>
      </c>
      <c r="K94" s="164" t="s">
        <v>220</v>
      </c>
      <c r="L94" s="164" t="s">
        <v>220</v>
      </c>
      <c r="M94" s="164" t="s">
        <v>223</v>
      </c>
      <c r="N94" s="164" t="s">
        <v>93</v>
      </c>
      <c r="O94" s="164">
        <v>408</v>
      </c>
      <c r="P94" s="164">
        <v>0</v>
      </c>
      <c r="Q94" s="164">
        <v>0</v>
      </c>
      <c r="R94" s="164">
        <v>0</v>
      </c>
      <c r="S94" s="164">
        <v>0</v>
      </c>
      <c r="T94" s="164">
        <v>0</v>
      </c>
      <c r="U94" s="164">
        <v>0</v>
      </c>
      <c r="V94" s="164">
        <v>20.399999999999999</v>
      </c>
      <c r="W94" s="164">
        <v>428.4</v>
      </c>
      <c r="X94" s="164">
        <v>408</v>
      </c>
      <c r="Y94" s="164">
        <v>22</v>
      </c>
      <c r="Z94" s="164">
        <v>89.76</v>
      </c>
      <c r="AA94" s="164">
        <v>7.88</v>
      </c>
      <c r="AB94" s="164">
        <v>97.64</v>
      </c>
      <c r="AC94" s="164">
        <v>17.579999999999998</v>
      </c>
      <c r="AD94" s="164">
        <v>0</v>
      </c>
      <c r="AE94" s="164">
        <v>408</v>
      </c>
      <c r="AF94" s="164">
        <v>0</v>
      </c>
      <c r="AG94" s="164">
        <v>0</v>
      </c>
      <c r="AH94" s="164">
        <v>0.41</v>
      </c>
      <c r="AI94" s="164">
        <v>20.399999999999999</v>
      </c>
      <c r="AJ94" s="164">
        <v>0</v>
      </c>
      <c r="AK94" s="164">
        <v>38.39</v>
      </c>
      <c r="AL94" s="164">
        <v>0</v>
      </c>
      <c r="AM94" s="164">
        <v>0</v>
      </c>
      <c r="AN94" s="164">
        <v>0</v>
      </c>
      <c r="AO94" s="164">
        <v>0</v>
      </c>
      <c r="AP94" s="164">
        <v>0</v>
      </c>
      <c r="AQ94" s="164">
        <v>0</v>
      </c>
      <c r="AR94" s="164">
        <v>0</v>
      </c>
      <c r="AS94" s="164">
        <v>0</v>
      </c>
      <c r="AT94" s="164">
        <v>0</v>
      </c>
      <c r="AU94" s="164">
        <v>136.03</v>
      </c>
      <c r="AV94" s="164">
        <v>0</v>
      </c>
      <c r="AW94" s="164">
        <v>292.37</v>
      </c>
      <c r="AX94" s="164" t="s">
        <v>224</v>
      </c>
      <c r="AY94" s="164" t="s">
        <v>380</v>
      </c>
      <c r="AZ94" s="164" t="s">
        <v>381</v>
      </c>
      <c r="BA94" s="164">
        <v>0</v>
      </c>
      <c r="BB94" s="164" t="s">
        <v>559</v>
      </c>
    </row>
    <row r="95" spans="1:54">
      <c r="A95" s="164" t="s">
        <v>560</v>
      </c>
      <c r="B95" s="164" t="s">
        <v>561</v>
      </c>
      <c r="C95" s="164" t="s">
        <v>562</v>
      </c>
      <c r="D95" s="164" t="s">
        <v>48</v>
      </c>
      <c r="E95" s="164" t="s">
        <v>218</v>
      </c>
      <c r="F95" s="164" t="s">
        <v>219</v>
      </c>
      <c r="G95" s="164" t="s">
        <v>220</v>
      </c>
      <c r="H95" s="164" t="s">
        <v>221</v>
      </c>
      <c r="I95" s="164" t="s">
        <v>222</v>
      </c>
      <c r="J95" s="164" t="s">
        <v>220</v>
      </c>
      <c r="K95" s="164" t="s">
        <v>220</v>
      </c>
      <c r="L95" s="164" t="s">
        <v>220</v>
      </c>
      <c r="M95" s="164" t="s">
        <v>223</v>
      </c>
      <c r="N95" s="164" t="s">
        <v>93</v>
      </c>
      <c r="O95" s="164">
        <v>405</v>
      </c>
      <c r="P95" s="164">
        <v>0</v>
      </c>
      <c r="Q95" s="164">
        <v>0</v>
      </c>
      <c r="R95" s="164">
        <v>0</v>
      </c>
      <c r="S95" s="164">
        <v>0</v>
      </c>
      <c r="T95" s="164">
        <v>0</v>
      </c>
      <c r="U95" s="164">
        <v>0</v>
      </c>
      <c r="V95" s="164">
        <v>20.25</v>
      </c>
      <c r="W95" s="164">
        <v>425.25</v>
      </c>
      <c r="X95" s="164">
        <v>405</v>
      </c>
      <c r="Y95" s="164">
        <v>22</v>
      </c>
      <c r="Z95" s="164">
        <v>89.1</v>
      </c>
      <c r="AA95" s="164">
        <v>7.82</v>
      </c>
      <c r="AB95" s="164">
        <v>96.92</v>
      </c>
      <c r="AC95" s="164">
        <v>17.45</v>
      </c>
      <c r="AD95" s="164">
        <v>0</v>
      </c>
      <c r="AE95" s="164">
        <v>405</v>
      </c>
      <c r="AF95" s="164">
        <v>0</v>
      </c>
      <c r="AG95" s="164">
        <v>0</v>
      </c>
      <c r="AH95" s="164">
        <v>0.4</v>
      </c>
      <c r="AI95" s="164">
        <v>20.25</v>
      </c>
      <c r="AJ95" s="164">
        <v>0</v>
      </c>
      <c r="AK95" s="164">
        <v>38.1</v>
      </c>
      <c r="AL95" s="164">
        <v>0</v>
      </c>
      <c r="AM95" s="164">
        <v>0</v>
      </c>
      <c r="AN95" s="164">
        <v>0</v>
      </c>
      <c r="AO95" s="164">
        <v>0</v>
      </c>
      <c r="AP95" s="164">
        <v>0</v>
      </c>
      <c r="AQ95" s="164">
        <v>0</v>
      </c>
      <c r="AR95" s="164">
        <v>0</v>
      </c>
      <c r="AS95" s="164">
        <v>0</v>
      </c>
      <c r="AT95" s="164">
        <v>0</v>
      </c>
      <c r="AU95" s="164">
        <v>135.02000000000001</v>
      </c>
      <c r="AV95" s="164">
        <v>0</v>
      </c>
      <c r="AW95" s="164">
        <v>290.23</v>
      </c>
      <c r="AX95" s="164" t="s">
        <v>224</v>
      </c>
      <c r="AY95" s="164" t="s">
        <v>380</v>
      </c>
      <c r="AZ95" s="164" t="s">
        <v>381</v>
      </c>
      <c r="BA95" s="164">
        <v>0</v>
      </c>
      <c r="BB95" s="164" t="s">
        <v>492</v>
      </c>
    </row>
    <row r="96" spans="1:54">
      <c r="A96" s="164" t="s">
        <v>563</v>
      </c>
      <c r="B96" s="164" t="s">
        <v>564</v>
      </c>
      <c r="C96" s="164" t="s">
        <v>565</v>
      </c>
      <c r="D96" s="164" t="s">
        <v>48</v>
      </c>
      <c r="E96" s="164" t="s">
        <v>218</v>
      </c>
      <c r="F96" s="164" t="s">
        <v>219</v>
      </c>
      <c r="G96" s="164" t="s">
        <v>220</v>
      </c>
      <c r="H96" s="164" t="s">
        <v>221</v>
      </c>
      <c r="I96" s="164" t="s">
        <v>222</v>
      </c>
      <c r="J96" s="164" t="s">
        <v>220</v>
      </c>
      <c r="K96" s="164" t="s">
        <v>220</v>
      </c>
      <c r="L96" s="164" t="s">
        <v>220</v>
      </c>
      <c r="M96" s="164" t="s">
        <v>223</v>
      </c>
      <c r="N96" s="164" t="s">
        <v>93</v>
      </c>
      <c r="O96" s="164">
        <v>282</v>
      </c>
      <c r="P96" s="164">
        <v>0</v>
      </c>
      <c r="Q96" s="164">
        <v>0</v>
      </c>
      <c r="R96" s="164">
        <v>0</v>
      </c>
      <c r="S96" s="164">
        <v>0</v>
      </c>
      <c r="T96" s="164">
        <v>0</v>
      </c>
      <c r="U96" s="164">
        <v>0</v>
      </c>
      <c r="V96" s="164">
        <v>14.1</v>
      </c>
      <c r="W96" s="164">
        <v>296.10000000000002</v>
      </c>
      <c r="X96" s="164">
        <v>282</v>
      </c>
      <c r="Y96" s="164">
        <v>22</v>
      </c>
      <c r="Z96" s="164">
        <v>62.04</v>
      </c>
      <c r="AA96" s="164">
        <v>5.45</v>
      </c>
      <c r="AB96" s="164">
        <v>67.489999999999995</v>
      </c>
      <c r="AC96" s="164">
        <v>12.15</v>
      </c>
      <c r="AD96" s="164">
        <v>0</v>
      </c>
      <c r="AE96" s="164">
        <v>282</v>
      </c>
      <c r="AF96" s="164">
        <v>0</v>
      </c>
      <c r="AG96" s="164">
        <v>0</v>
      </c>
      <c r="AH96" s="164">
        <v>0.28000000000000003</v>
      </c>
      <c r="AI96" s="164">
        <v>14.1</v>
      </c>
      <c r="AJ96" s="164">
        <v>0</v>
      </c>
      <c r="AK96" s="164">
        <v>26.53</v>
      </c>
      <c r="AL96" s="164">
        <v>0</v>
      </c>
      <c r="AM96" s="164">
        <v>0</v>
      </c>
      <c r="AN96" s="164">
        <v>0</v>
      </c>
      <c r="AO96" s="164">
        <v>0</v>
      </c>
      <c r="AP96" s="164">
        <v>0</v>
      </c>
      <c r="AQ96" s="164">
        <v>0</v>
      </c>
      <c r="AR96" s="164">
        <v>0</v>
      </c>
      <c r="AS96" s="164">
        <v>0</v>
      </c>
      <c r="AT96" s="164">
        <v>0</v>
      </c>
      <c r="AU96" s="164">
        <v>94.02</v>
      </c>
      <c r="AV96" s="164">
        <v>0</v>
      </c>
      <c r="AW96" s="164">
        <v>202.08</v>
      </c>
      <c r="AX96" s="164" t="s">
        <v>224</v>
      </c>
      <c r="AY96" s="164" t="s">
        <v>380</v>
      </c>
      <c r="AZ96" s="164" t="s">
        <v>381</v>
      </c>
      <c r="BA96" s="164">
        <v>0</v>
      </c>
      <c r="BB96" s="164" t="s">
        <v>566</v>
      </c>
    </row>
    <row r="97" spans="1:54">
      <c r="A97" s="164" t="s">
        <v>567</v>
      </c>
      <c r="B97" s="164" t="s">
        <v>568</v>
      </c>
      <c r="C97" s="164" t="s">
        <v>569</v>
      </c>
      <c r="D97" s="164" t="s">
        <v>48</v>
      </c>
      <c r="E97" s="164" t="s">
        <v>218</v>
      </c>
      <c r="F97" s="164" t="s">
        <v>219</v>
      </c>
      <c r="G97" s="164" t="s">
        <v>220</v>
      </c>
      <c r="H97" s="164" t="s">
        <v>221</v>
      </c>
      <c r="I97" s="164" t="s">
        <v>222</v>
      </c>
      <c r="J97" s="164" t="s">
        <v>220</v>
      </c>
      <c r="K97" s="164" t="s">
        <v>220</v>
      </c>
      <c r="L97" s="164" t="s">
        <v>220</v>
      </c>
      <c r="M97" s="164" t="s">
        <v>223</v>
      </c>
      <c r="N97" s="164" t="s">
        <v>93</v>
      </c>
      <c r="O97" s="164">
        <v>229</v>
      </c>
      <c r="P97" s="164">
        <v>0</v>
      </c>
      <c r="Q97" s="164">
        <v>0</v>
      </c>
      <c r="R97" s="164">
        <v>0</v>
      </c>
      <c r="S97" s="164">
        <v>0</v>
      </c>
      <c r="T97" s="164">
        <v>0</v>
      </c>
      <c r="U97" s="164">
        <v>0</v>
      </c>
      <c r="V97" s="164">
        <v>11.45</v>
      </c>
      <c r="W97" s="164">
        <v>240.45</v>
      </c>
      <c r="X97" s="164">
        <v>229</v>
      </c>
      <c r="Y97" s="164">
        <v>22</v>
      </c>
      <c r="Z97" s="164">
        <v>50.38</v>
      </c>
      <c r="AA97" s="164">
        <v>4.42</v>
      </c>
      <c r="AB97" s="164">
        <v>54.8</v>
      </c>
      <c r="AC97" s="164">
        <v>9.8699999999999992</v>
      </c>
      <c r="AD97" s="164">
        <v>0</v>
      </c>
      <c r="AE97" s="164">
        <v>229</v>
      </c>
      <c r="AF97" s="164">
        <v>0</v>
      </c>
      <c r="AG97" s="164">
        <v>0</v>
      </c>
      <c r="AH97" s="164">
        <v>0.23</v>
      </c>
      <c r="AI97" s="164">
        <v>11.45</v>
      </c>
      <c r="AJ97" s="164">
        <v>0</v>
      </c>
      <c r="AK97" s="164">
        <v>21.55</v>
      </c>
      <c r="AL97" s="164">
        <v>0</v>
      </c>
      <c r="AM97" s="164">
        <v>0</v>
      </c>
      <c r="AN97" s="164">
        <v>0</v>
      </c>
      <c r="AO97" s="164">
        <v>0</v>
      </c>
      <c r="AP97" s="164">
        <v>0</v>
      </c>
      <c r="AQ97" s="164">
        <v>0</v>
      </c>
      <c r="AR97" s="164">
        <v>0</v>
      </c>
      <c r="AS97" s="164">
        <v>0</v>
      </c>
      <c r="AT97" s="164">
        <v>0</v>
      </c>
      <c r="AU97" s="164">
        <v>76.349999999999994</v>
      </c>
      <c r="AV97" s="164">
        <v>0</v>
      </c>
      <c r="AW97" s="164">
        <v>164.1</v>
      </c>
      <c r="AX97" s="164" t="s">
        <v>224</v>
      </c>
      <c r="AY97" s="164" t="s">
        <v>380</v>
      </c>
      <c r="AZ97" s="164" t="s">
        <v>381</v>
      </c>
      <c r="BA97" s="164">
        <v>0</v>
      </c>
      <c r="BB97" s="164" t="s">
        <v>570</v>
      </c>
    </row>
    <row r="98" spans="1:54">
      <c r="A98" s="164" t="s">
        <v>571</v>
      </c>
      <c r="B98" s="164" t="s">
        <v>572</v>
      </c>
      <c r="C98" s="164" t="s">
        <v>573</v>
      </c>
      <c r="D98" s="164" t="s">
        <v>48</v>
      </c>
      <c r="E98" s="164" t="s">
        <v>218</v>
      </c>
      <c r="F98" s="164" t="s">
        <v>219</v>
      </c>
      <c r="G98" s="164" t="s">
        <v>220</v>
      </c>
      <c r="H98" s="164" t="s">
        <v>221</v>
      </c>
      <c r="I98" s="164" t="s">
        <v>222</v>
      </c>
      <c r="J98" s="164" t="s">
        <v>220</v>
      </c>
      <c r="K98" s="164" t="s">
        <v>220</v>
      </c>
      <c r="L98" s="164" t="s">
        <v>220</v>
      </c>
      <c r="M98" s="164" t="s">
        <v>223</v>
      </c>
      <c r="N98" s="164" t="s">
        <v>93</v>
      </c>
      <c r="O98" s="164">
        <v>229</v>
      </c>
      <c r="P98" s="164">
        <v>0</v>
      </c>
      <c r="Q98" s="164">
        <v>0</v>
      </c>
      <c r="R98" s="164">
        <v>0</v>
      </c>
      <c r="S98" s="164">
        <v>0</v>
      </c>
      <c r="T98" s="164">
        <v>0</v>
      </c>
      <c r="U98" s="164">
        <v>0</v>
      </c>
      <c r="V98" s="164">
        <v>11.45</v>
      </c>
      <c r="W98" s="164">
        <v>240.45</v>
      </c>
      <c r="X98" s="164">
        <v>229</v>
      </c>
      <c r="Y98" s="164">
        <v>22</v>
      </c>
      <c r="Z98" s="164">
        <v>50.38</v>
      </c>
      <c r="AA98" s="164">
        <v>4.42</v>
      </c>
      <c r="AB98" s="164">
        <v>54.8</v>
      </c>
      <c r="AC98" s="164">
        <v>9.8699999999999992</v>
      </c>
      <c r="AD98" s="164">
        <v>0</v>
      </c>
      <c r="AE98" s="164">
        <v>229</v>
      </c>
      <c r="AF98" s="164">
        <v>0</v>
      </c>
      <c r="AG98" s="164">
        <v>0</v>
      </c>
      <c r="AH98" s="164">
        <v>0.23</v>
      </c>
      <c r="AI98" s="164">
        <v>11.45</v>
      </c>
      <c r="AJ98" s="164">
        <v>0</v>
      </c>
      <c r="AK98" s="164">
        <v>21.55</v>
      </c>
      <c r="AL98" s="164">
        <v>0</v>
      </c>
      <c r="AM98" s="164">
        <v>0</v>
      </c>
      <c r="AN98" s="164">
        <v>0</v>
      </c>
      <c r="AO98" s="164">
        <v>0</v>
      </c>
      <c r="AP98" s="164">
        <v>0</v>
      </c>
      <c r="AQ98" s="164">
        <v>0</v>
      </c>
      <c r="AR98" s="164">
        <v>0</v>
      </c>
      <c r="AS98" s="164">
        <v>0</v>
      </c>
      <c r="AT98" s="164">
        <v>0</v>
      </c>
      <c r="AU98" s="164">
        <v>76.349999999999994</v>
      </c>
      <c r="AV98" s="164">
        <v>0</v>
      </c>
      <c r="AW98" s="164">
        <v>164.1</v>
      </c>
      <c r="AX98" s="164" t="s">
        <v>224</v>
      </c>
      <c r="AY98" s="164" t="s">
        <v>380</v>
      </c>
      <c r="AZ98" s="164" t="s">
        <v>381</v>
      </c>
      <c r="BA98" s="164">
        <v>0</v>
      </c>
      <c r="BB98" s="164" t="s">
        <v>326</v>
      </c>
    </row>
    <row r="99" spans="1:54">
      <c r="A99" s="164" t="s">
        <v>574</v>
      </c>
      <c r="B99" s="164" t="s">
        <v>575</v>
      </c>
      <c r="C99" s="164" t="s">
        <v>576</v>
      </c>
      <c r="D99" s="164" t="s">
        <v>48</v>
      </c>
      <c r="E99" s="164" t="s">
        <v>218</v>
      </c>
      <c r="F99" s="164" t="s">
        <v>219</v>
      </c>
      <c r="G99" s="164" t="s">
        <v>220</v>
      </c>
      <c r="H99" s="164" t="s">
        <v>221</v>
      </c>
      <c r="I99" s="164" t="s">
        <v>222</v>
      </c>
      <c r="J99" s="164" t="s">
        <v>220</v>
      </c>
      <c r="K99" s="164" t="s">
        <v>220</v>
      </c>
      <c r="L99" s="164" t="s">
        <v>220</v>
      </c>
      <c r="M99" s="164" t="s">
        <v>223</v>
      </c>
      <c r="N99" s="164" t="s">
        <v>93</v>
      </c>
      <c r="O99" s="164">
        <v>229</v>
      </c>
      <c r="P99" s="164">
        <v>0</v>
      </c>
      <c r="Q99" s="164">
        <v>0</v>
      </c>
      <c r="R99" s="164">
        <v>0</v>
      </c>
      <c r="S99" s="164">
        <v>0</v>
      </c>
      <c r="T99" s="164">
        <v>0</v>
      </c>
      <c r="U99" s="164">
        <v>0</v>
      </c>
      <c r="V99" s="164">
        <v>11.45</v>
      </c>
      <c r="W99" s="164">
        <v>240.45</v>
      </c>
      <c r="X99" s="164">
        <v>229</v>
      </c>
      <c r="Y99" s="164">
        <v>22</v>
      </c>
      <c r="Z99" s="164">
        <v>50.38</v>
      </c>
      <c r="AA99" s="164">
        <v>4.42</v>
      </c>
      <c r="AB99" s="164">
        <v>54.8</v>
      </c>
      <c r="AC99" s="164">
        <v>9.8699999999999992</v>
      </c>
      <c r="AD99" s="164">
        <v>0</v>
      </c>
      <c r="AE99" s="164">
        <v>229</v>
      </c>
      <c r="AF99" s="164">
        <v>0</v>
      </c>
      <c r="AG99" s="164">
        <v>0</v>
      </c>
      <c r="AH99" s="164">
        <v>0.23</v>
      </c>
      <c r="AI99" s="164">
        <v>11.45</v>
      </c>
      <c r="AJ99" s="164">
        <v>0</v>
      </c>
      <c r="AK99" s="164">
        <v>21.55</v>
      </c>
      <c r="AL99" s="164">
        <v>0</v>
      </c>
      <c r="AM99" s="164">
        <v>0</v>
      </c>
      <c r="AN99" s="164">
        <v>0</v>
      </c>
      <c r="AO99" s="164">
        <v>0</v>
      </c>
      <c r="AP99" s="164">
        <v>0</v>
      </c>
      <c r="AQ99" s="164">
        <v>0</v>
      </c>
      <c r="AR99" s="164">
        <v>0</v>
      </c>
      <c r="AS99" s="164">
        <v>0</v>
      </c>
      <c r="AT99" s="164">
        <v>0</v>
      </c>
      <c r="AU99" s="164">
        <v>76.349999999999994</v>
      </c>
      <c r="AV99" s="164">
        <v>0</v>
      </c>
      <c r="AW99" s="164">
        <v>164.1</v>
      </c>
      <c r="AX99" s="164" t="s">
        <v>224</v>
      </c>
      <c r="AY99" s="164" t="s">
        <v>380</v>
      </c>
      <c r="AZ99" s="164" t="s">
        <v>381</v>
      </c>
      <c r="BA99" s="164">
        <v>0</v>
      </c>
      <c r="BB99" s="164" t="s">
        <v>577</v>
      </c>
    </row>
    <row r="100" spans="1:54">
      <c r="A100" s="164" t="s">
        <v>578</v>
      </c>
      <c r="B100" s="164" t="s">
        <v>579</v>
      </c>
      <c r="C100" s="164" t="s">
        <v>580</v>
      </c>
      <c r="D100" s="164" t="s">
        <v>49</v>
      </c>
      <c r="E100" s="164" t="s">
        <v>218</v>
      </c>
      <c r="F100" s="164" t="s">
        <v>219</v>
      </c>
      <c r="G100" s="164" t="s">
        <v>220</v>
      </c>
      <c r="H100" s="164" t="s">
        <v>221</v>
      </c>
      <c r="I100" s="164" t="s">
        <v>222</v>
      </c>
      <c r="J100" s="164" t="s">
        <v>220</v>
      </c>
      <c r="K100" s="164" t="s">
        <v>220</v>
      </c>
      <c r="L100" s="164" t="s">
        <v>220</v>
      </c>
      <c r="M100" s="164" t="s">
        <v>223</v>
      </c>
      <c r="N100" s="164" t="s">
        <v>93</v>
      </c>
      <c r="O100" s="164">
        <v>846</v>
      </c>
      <c r="P100" s="164">
        <v>0</v>
      </c>
      <c r="Q100" s="164">
        <v>0</v>
      </c>
      <c r="R100" s="164">
        <v>0</v>
      </c>
      <c r="S100" s="164">
        <v>0</v>
      </c>
      <c r="T100" s="164">
        <v>0</v>
      </c>
      <c r="U100" s="164">
        <v>0</v>
      </c>
      <c r="V100" s="164">
        <v>42.3</v>
      </c>
      <c r="W100" s="164">
        <v>888.3</v>
      </c>
      <c r="X100" s="164">
        <v>846</v>
      </c>
      <c r="Y100" s="164">
        <v>22</v>
      </c>
      <c r="Z100" s="164">
        <v>186.12</v>
      </c>
      <c r="AA100" s="164">
        <v>16.34</v>
      </c>
      <c r="AB100" s="164">
        <v>202.46</v>
      </c>
      <c r="AC100" s="164">
        <v>36.44</v>
      </c>
      <c r="AD100" s="164">
        <v>0</v>
      </c>
      <c r="AE100" s="164">
        <v>846</v>
      </c>
      <c r="AF100" s="164">
        <v>0</v>
      </c>
      <c r="AG100" s="164">
        <v>0</v>
      </c>
      <c r="AH100" s="164">
        <v>0.85</v>
      </c>
      <c r="AI100" s="164">
        <v>42.3</v>
      </c>
      <c r="AJ100" s="164">
        <v>0</v>
      </c>
      <c r="AK100" s="164">
        <v>79.59</v>
      </c>
      <c r="AL100" s="164">
        <v>0</v>
      </c>
      <c r="AM100" s="164">
        <v>0</v>
      </c>
      <c r="AN100" s="164">
        <v>0</v>
      </c>
      <c r="AO100" s="164">
        <v>0</v>
      </c>
      <c r="AP100" s="164">
        <v>0</v>
      </c>
      <c r="AQ100" s="164">
        <v>0</v>
      </c>
      <c r="AR100" s="164">
        <v>0</v>
      </c>
      <c r="AS100" s="164">
        <v>0</v>
      </c>
      <c r="AT100" s="164">
        <v>0</v>
      </c>
      <c r="AU100" s="164">
        <v>282.05</v>
      </c>
      <c r="AV100" s="164">
        <v>0</v>
      </c>
      <c r="AW100" s="164">
        <v>606.25</v>
      </c>
      <c r="AX100" s="164" t="s">
        <v>224</v>
      </c>
      <c r="AY100" s="164" t="s">
        <v>581</v>
      </c>
      <c r="AZ100" s="164" t="s">
        <v>582</v>
      </c>
      <c r="BA100" s="164">
        <v>0</v>
      </c>
      <c r="BB100" s="164" t="s">
        <v>583</v>
      </c>
    </row>
    <row r="101" spans="1:54">
      <c r="A101" s="164" t="s">
        <v>584</v>
      </c>
      <c r="B101" s="164" t="s">
        <v>585</v>
      </c>
      <c r="C101" s="164" t="s">
        <v>586</v>
      </c>
      <c r="D101" s="164" t="s">
        <v>49</v>
      </c>
      <c r="E101" s="164" t="s">
        <v>218</v>
      </c>
      <c r="F101" s="164" t="s">
        <v>219</v>
      </c>
      <c r="G101" s="164" t="s">
        <v>220</v>
      </c>
      <c r="H101" s="164" t="s">
        <v>221</v>
      </c>
      <c r="I101" s="164" t="s">
        <v>222</v>
      </c>
      <c r="J101" s="164" t="s">
        <v>220</v>
      </c>
      <c r="K101" s="164" t="s">
        <v>220</v>
      </c>
      <c r="L101" s="164" t="s">
        <v>220</v>
      </c>
      <c r="M101" s="164" t="s">
        <v>223</v>
      </c>
      <c r="N101" s="164" t="s">
        <v>93</v>
      </c>
      <c r="O101" s="164">
        <v>552</v>
      </c>
      <c r="P101" s="164">
        <v>0</v>
      </c>
      <c r="Q101" s="164">
        <v>0</v>
      </c>
      <c r="R101" s="164">
        <v>0</v>
      </c>
      <c r="S101" s="164">
        <v>0</v>
      </c>
      <c r="T101" s="164">
        <v>0</v>
      </c>
      <c r="U101" s="164">
        <v>0</v>
      </c>
      <c r="V101" s="164">
        <v>27.6</v>
      </c>
      <c r="W101" s="164">
        <v>579.6</v>
      </c>
      <c r="X101" s="164">
        <v>552</v>
      </c>
      <c r="Y101" s="164">
        <v>22</v>
      </c>
      <c r="Z101" s="164">
        <v>121.44</v>
      </c>
      <c r="AA101" s="164">
        <v>10.66</v>
      </c>
      <c r="AB101" s="164">
        <v>132.1</v>
      </c>
      <c r="AC101" s="164">
        <v>23.78</v>
      </c>
      <c r="AD101" s="164">
        <v>0</v>
      </c>
      <c r="AE101" s="164">
        <v>552</v>
      </c>
      <c r="AF101" s="164">
        <v>0</v>
      </c>
      <c r="AG101" s="164">
        <v>0</v>
      </c>
      <c r="AH101" s="164">
        <v>0.55000000000000004</v>
      </c>
      <c r="AI101" s="164">
        <v>27.6</v>
      </c>
      <c r="AJ101" s="164">
        <v>0</v>
      </c>
      <c r="AK101" s="164">
        <v>51.93</v>
      </c>
      <c r="AL101" s="164">
        <v>0</v>
      </c>
      <c r="AM101" s="164">
        <v>0</v>
      </c>
      <c r="AN101" s="164">
        <v>0</v>
      </c>
      <c r="AO101" s="164">
        <v>0</v>
      </c>
      <c r="AP101" s="164">
        <v>0</v>
      </c>
      <c r="AQ101" s="164">
        <v>0</v>
      </c>
      <c r="AR101" s="164">
        <v>0</v>
      </c>
      <c r="AS101" s="164">
        <v>0</v>
      </c>
      <c r="AT101" s="164">
        <v>0</v>
      </c>
      <c r="AU101" s="164">
        <v>184.03</v>
      </c>
      <c r="AV101" s="164">
        <v>0</v>
      </c>
      <c r="AW101" s="164">
        <v>395.57</v>
      </c>
      <c r="AX101" s="164" t="s">
        <v>224</v>
      </c>
      <c r="AY101" s="164" t="s">
        <v>581</v>
      </c>
      <c r="AZ101" s="164" t="s">
        <v>582</v>
      </c>
      <c r="BA101" s="164">
        <v>0</v>
      </c>
      <c r="BB101" s="164" t="s">
        <v>587</v>
      </c>
    </row>
    <row r="102" spans="1:54">
      <c r="A102" s="164" t="s">
        <v>588</v>
      </c>
      <c r="B102" s="164" t="s">
        <v>589</v>
      </c>
      <c r="C102" s="164" t="s">
        <v>590</v>
      </c>
      <c r="D102" s="164" t="s">
        <v>49</v>
      </c>
      <c r="E102" s="164" t="s">
        <v>218</v>
      </c>
      <c r="F102" s="164" t="s">
        <v>219</v>
      </c>
      <c r="G102" s="164" t="s">
        <v>220</v>
      </c>
      <c r="H102" s="164" t="s">
        <v>221</v>
      </c>
      <c r="I102" s="164" t="s">
        <v>222</v>
      </c>
      <c r="J102" s="164" t="s">
        <v>220</v>
      </c>
      <c r="K102" s="164" t="s">
        <v>220</v>
      </c>
      <c r="L102" s="164" t="s">
        <v>220</v>
      </c>
      <c r="M102" s="164" t="s">
        <v>223</v>
      </c>
      <c r="N102" s="164" t="s">
        <v>93</v>
      </c>
      <c r="O102" s="164">
        <v>567</v>
      </c>
      <c r="P102" s="164">
        <v>0</v>
      </c>
      <c r="Q102" s="164">
        <v>0</v>
      </c>
      <c r="R102" s="164">
        <v>0</v>
      </c>
      <c r="S102" s="164">
        <v>0</v>
      </c>
      <c r="T102" s="164">
        <v>0</v>
      </c>
      <c r="U102" s="164">
        <v>0</v>
      </c>
      <c r="V102" s="164">
        <v>28.35</v>
      </c>
      <c r="W102" s="164">
        <v>595.35</v>
      </c>
      <c r="X102" s="164">
        <v>567</v>
      </c>
      <c r="Y102" s="164">
        <v>22</v>
      </c>
      <c r="Z102" s="164">
        <v>124.74</v>
      </c>
      <c r="AA102" s="164">
        <v>10.95</v>
      </c>
      <c r="AB102" s="164">
        <v>135.69</v>
      </c>
      <c r="AC102" s="164">
        <v>24.42</v>
      </c>
      <c r="AD102" s="164">
        <v>0</v>
      </c>
      <c r="AE102" s="164">
        <v>567</v>
      </c>
      <c r="AF102" s="164">
        <v>0</v>
      </c>
      <c r="AG102" s="164">
        <v>0</v>
      </c>
      <c r="AH102" s="164">
        <v>0.56999999999999995</v>
      </c>
      <c r="AI102" s="164">
        <v>28.35</v>
      </c>
      <c r="AJ102" s="164">
        <v>0</v>
      </c>
      <c r="AK102" s="164">
        <v>53.34</v>
      </c>
      <c r="AL102" s="164">
        <v>0</v>
      </c>
      <c r="AM102" s="164">
        <v>0</v>
      </c>
      <c r="AN102" s="164">
        <v>0</v>
      </c>
      <c r="AO102" s="164">
        <v>0</v>
      </c>
      <c r="AP102" s="164">
        <v>0</v>
      </c>
      <c r="AQ102" s="164">
        <v>0</v>
      </c>
      <c r="AR102" s="164">
        <v>0</v>
      </c>
      <c r="AS102" s="164">
        <v>0</v>
      </c>
      <c r="AT102" s="164">
        <v>0</v>
      </c>
      <c r="AU102" s="164">
        <v>189.03</v>
      </c>
      <c r="AV102" s="164">
        <v>0</v>
      </c>
      <c r="AW102" s="164">
        <v>406.32</v>
      </c>
      <c r="AX102" s="164" t="s">
        <v>224</v>
      </c>
      <c r="AY102" s="164" t="s">
        <v>581</v>
      </c>
      <c r="AZ102" s="164" t="s">
        <v>582</v>
      </c>
      <c r="BA102" s="164">
        <v>0</v>
      </c>
      <c r="BB102" s="164" t="s">
        <v>322</v>
      </c>
    </row>
    <row r="103" spans="1:54">
      <c r="A103" s="164" t="s">
        <v>591</v>
      </c>
      <c r="B103" s="164" t="s">
        <v>592</v>
      </c>
      <c r="C103" s="164" t="s">
        <v>593</v>
      </c>
      <c r="D103" s="164" t="s">
        <v>49</v>
      </c>
      <c r="E103" s="164" t="s">
        <v>218</v>
      </c>
      <c r="F103" s="164" t="s">
        <v>219</v>
      </c>
      <c r="G103" s="164" t="s">
        <v>220</v>
      </c>
      <c r="H103" s="164" t="s">
        <v>221</v>
      </c>
      <c r="I103" s="164" t="s">
        <v>222</v>
      </c>
      <c r="J103" s="164" t="s">
        <v>220</v>
      </c>
      <c r="K103" s="164" t="s">
        <v>220</v>
      </c>
      <c r="L103" s="164" t="s">
        <v>220</v>
      </c>
      <c r="M103" s="164" t="s">
        <v>223</v>
      </c>
      <c r="N103" s="164" t="s">
        <v>93</v>
      </c>
      <c r="O103" s="164">
        <v>1278</v>
      </c>
      <c r="P103" s="164">
        <v>0</v>
      </c>
      <c r="Q103" s="164">
        <v>0</v>
      </c>
      <c r="R103" s="164">
        <v>0</v>
      </c>
      <c r="S103" s="164">
        <v>0</v>
      </c>
      <c r="T103" s="164">
        <v>0</v>
      </c>
      <c r="U103" s="164">
        <v>0</v>
      </c>
      <c r="V103" s="164">
        <v>63.9</v>
      </c>
      <c r="W103" s="164">
        <v>1341.9</v>
      </c>
      <c r="X103" s="164">
        <v>1278</v>
      </c>
      <c r="Y103" s="164">
        <v>22</v>
      </c>
      <c r="Z103" s="164">
        <v>281.16000000000003</v>
      </c>
      <c r="AA103" s="164">
        <v>24.69</v>
      </c>
      <c r="AB103" s="164">
        <v>305.85000000000002</v>
      </c>
      <c r="AC103" s="164">
        <v>55.05</v>
      </c>
      <c r="AD103" s="164">
        <v>0</v>
      </c>
      <c r="AE103" s="164">
        <v>1278</v>
      </c>
      <c r="AF103" s="164">
        <v>0</v>
      </c>
      <c r="AG103" s="164">
        <v>0</v>
      </c>
      <c r="AH103" s="164">
        <v>1.28</v>
      </c>
      <c r="AI103" s="164">
        <v>63.9</v>
      </c>
      <c r="AJ103" s="164">
        <v>0</v>
      </c>
      <c r="AK103" s="164">
        <v>120.23</v>
      </c>
      <c r="AL103" s="164">
        <v>0</v>
      </c>
      <c r="AM103" s="164">
        <v>0</v>
      </c>
      <c r="AN103" s="164">
        <v>0</v>
      </c>
      <c r="AO103" s="164">
        <v>0</v>
      </c>
      <c r="AP103" s="164">
        <v>0</v>
      </c>
      <c r="AQ103" s="164">
        <v>0</v>
      </c>
      <c r="AR103" s="164">
        <v>0</v>
      </c>
      <c r="AS103" s="164">
        <v>0</v>
      </c>
      <c r="AT103" s="164">
        <v>0</v>
      </c>
      <c r="AU103" s="164">
        <v>426.08</v>
      </c>
      <c r="AV103" s="164">
        <v>0</v>
      </c>
      <c r="AW103" s="164">
        <v>915.82</v>
      </c>
      <c r="AX103" s="164" t="s">
        <v>224</v>
      </c>
      <c r="AY103" s="164" t="s">
        <v>581</v>
      </c>
      <c r="AZ103" s="164" t="s">
        <v>582</v>
      </c>
      <c r="BA103" s="164">
        <v>0</v>
      </c>
      <c r="BB103" s="164" t="s">
        <v>594</v>
      </c>
    </row>
    <row r="104" spans="1:54">
      <c r="A104" s="164" t="s">
        <v>595</v>
      </c>
      <c r="B104" s="164" t="s">
        <v>596</v>
      </c>
      <c r="C104" s="164" t="s">
        <v>597</v>
      </c>
      <c r="D104" s="164" t="s">
        <v>49</v>
      </c>
      <c r="E104" s="164" t="s">
        <v>218</v>
      </c>
      <c r="F104" s="164" t="s">
        <v>219</v>
      </c>
      <c r="G104" s="164" t="s">
        <v>220</v>
      </c>
      <c r="H104" s="164" t="s">
        <v>221</v>
      </c>
      <c r="I104" s="164" t="s">
        <v>222</v>
      </c>
      <c r="J104" s="164" t="s">
        <v>220</v>
      </c>
      <c r="K104" s="164" t="s">
        <v>220</v>
      </c>
      <c r="L104" s="164" t="s">
        <v>220</v>
      </c>
      <c r="M104" s="164" t="s">
        <v>223</v>
      </c>
      <c r="N104" s="164" t="s">
        <v>93</v>
      </c>
      <c r="O104" s="164">
        <v>141</v>
      </c>
      <c r="P104" s="164">
        <v>0</v>
      </c>
      <c r="Q104" s="164">
        <v>0</v>
      </c>
      <c r="R104" s="164">
        <v>0</v>
      </c>
      <c r="S104" s="164">
        <v>0</v>
      </c>
      <c r="T104" s="164">
        <v>0</v>
      </c>
      <c r="U104" s="164">
        <v>0</v>
      </c>
      <c r="V104" s="164">
        <v>7.05</v>
      </c>
      <c r="W104" s="164">
        <v>148.05000000000001</v>
      </c>
      <c r="X104" s="164">
        <v>141</v>
      </c>
      <c r="Y104" s="164">
        <v>22</v>
      </c>
      <c r="Z104" s="164">
        <v>31.02</v>
      </c>
      <c r="AA104" s="164">
        <v>2.72</v>
      </c>
      <c r="AB104" s="164">
        <v>33.74</v>
      </c>
      <c r="AC104" s="164">
        <v>6.07</v>
      </c>
      <c r="AD104" s="164">
        <v>0</v>
      </c>
      <c r="AE104" s="164">
        <v>141</v>
      </c>
      <c r="AF104" s="164">
        <v>0</v>
      </c>
      <c r="AG104" s="164">
        <v>0</v>
      </c>
      <c r="AH104" s="164">
        <v>0.14000000000000001</v>
      </c>
      <c r="AI104" s="164">
        <v>7.05</v>
      </c>
      <c r="AJ104" s="164">
        <v>0</v>
      </c>
      <c r="AK104" s="164">
        <v>13.26</v>
      </c>
      <c r="AL104" s="164">
        <v>0</v>
      </c>
      <c r="AM104" s="164">
        <v>0</v>
      </c>
      <c r="AN104" s="164">
        <v>0</v>
      </c>
      <c r="AO104" s="164">
        <v>0</v>
      </c>
      <c r="AP104" s="164">
        <v>0</v>
      </c>
      <c r="AQ104" s="164">
        <v>0</v>
      </c>
      <c r="AR104" s="164">
        <v>0</v>
      </c>
      <c r="AS104" s="164">
        <v>0</v>
      </c>
      <c r="AT104" s="164">
        <v>0</v>
      </c>
      <c r="AU104" s="164">
        <v>47</v>
      </c>
      <c r="AV104" s="164">
        <v>0</v>
      </c>
      <c r="AW104" s="164">
        <v>101.05</v>
      </c>
      <c r="AX104" s="164" t="s">
        <v>224</v>
      </c>
      <c r="AY104" s="164" t="s">
        <v>581</v>
      </c>
      <c r="AZ104" s="164" t="s">
        <v>582</v>
      </c>
      <c r="BA104" s="164">
        <v>0</v>
      </c>
      <c r="BB104" s="164" t="s">
        <v>598</v>
      </c>
    </row>
    <row r="105" spans="1:54">
      <c r="A105" s="164" t="s">
        <v>599</v>
      </c>
      <c r="B105" s="164" t="s">
        <v>600</v>
      </c>
      <c r="C105" s="164" t="s">
        <v>601</v>
      </c>
      <c r="D105" s="164" t="s">
        <v>49</v>
      </c>
      <c r="E105" s="164" t="s">
        <v>218</v>
      </c>
      <c r="F105" s="164" t="s">
        <v>219</v>
      </c>
      <c r="G105" s="164" t="s">
        <v>220</v>
      </c>
      <c r="H105" s="164" t="s">
        <v>221</v>
      </c>
      <c r="I105" s="164" t="s">
        <v>222</v>
      </c>
      <c r="J105" s="164" t="s">
        <v>220</v>
      </c>
      <c r="K105" s="164" t="s">
        <v>220</v>
      </c>
      <c r="L105" s="164" t="s">
        <v>220</v>
      </c>
      <c r="M105" s="164" t="s">
        <v>223</v>
      </c>
      <c r="N105" s="164" t="s">
        <v>93</v>
      </c>
      <c r="O105" s="164">
        <v>348</v>
      </c>
      <c r="P105" s="164">
        <v>0</v>
      </c>
      <c r="Q105" s="164">
        <v>0</v>
      </c>
      <c r="R105" s="164">
        <v>0</v>
      </c>
      <c r="S105" s="164">
        <v>0</v>
      </c>
      <c r="T105" s="164">
        <v>0</v>
      </c>
      <c r="U105" s="164">
        <v>0</v>
      </c>
      <c r="V105" s="164">
        <v>17.399999999999999</v>
      </c>
      <c r="W105" s="164">
        <v>365.4</v>
      </c>
      <c r="X105" s="164">
        <v>348</v>
      </c>
      <c r="Y105" s="164">
        <v>22</v>
      </c>
      <c r="Z105" s="164">
        <v>76.56</v>
      </c>
      <c r="AA105" s="164">
        <v>6.72</v>
      </c>
      <c r="AB105" s="164">
        <v>83.28</v>
      </c>
      <c r="AC105" s="164">
        <v>14.99</v>
      </c>
      <c r="AD105" s="164">
        <v>0</v>
      </c>
      <c r="AE105" s="164">
        <v>348</v>
      </c>
      <c r="AF105" s="164">
        <v>0</v>
      </c>
      <c r="AG105" s="164">
        <v>0</v>
      </c>
      <c r="AH105" s="164">
        <v>0.35</v>
      </c>
      <c r="AI105" s="164">
        <v>17.399999999999999</v>
      </c>
      <c r="AJ105" s="164">
        <v>0</v>
      </c>
      <c r="AK105" s="164">
        <v>32.74</v>
      </c>
      <c r="AL105" s="164">
        <v>0</v>
      </c>
      <c r="AM105" s="164">
        <v>0</v>
      </c>
      <c r="AN105" s="164">
        <v>0</v>
      </c>
      <c r="AO105" s="164">
        <v>0</v>
      </c>
      <c r="AP105" s="164">
        <v>0</v>
      </c>
      <c r="AQ105" s="164">
        <v>0</v>
      </c>
      <c r="AR105" s="164">
        <v>0</v>
      </c>
      <c r="AS105" s="164">
        <v>0</v>
      </c>
      <c r="AT105" s="164">
        <v>0</v>
      </c>
      <c r="AU105" s="164">
        <v>116.02</v>
      </c>
      <c r="AV105" s="164">
        <v>0</v>
      </c>
      <c r="AW105" s="164">
        <v>249.38</v>
      </c>
      <c r="AX105" s="164" t="s">
        <v>224</v>
      </c>
      <c r="AY105" s="164" t="s">
        <v>581</v>
      </c>
      <c r="AZ105" s="164" t="s">
        <v>582</v>
      </c>
      <c r="BA105" s="164">
        <v>0</v>
      </c>
      <c r="BB105" s="164" t="s">
        <v>602</v>
      </c>
    </row>
    <row r="106" spans="1:54">
      <c r="A106" s="164" t="s">
        <v>603</v>
      </c>
      <c r="B106" s="164" t="s">
        <v>604</v>
      </c>
      <c r="C106" s="164" t="s">
        <v>605</v>
      </c>
      <c r="D106" s="164" t="s">
        <v>49</v>
      </c>
      <c r="E106" s="164" t="s">
        <v>218</v>
      </c>
      <c r="F106" s="164" t="s">
        <v>219</v>
      </c>
      <c r="G106" s="164" t="s">
        <v>220</v>
      </c>
      <c r="H106" s="164" t="s">
        <v>221</v>
      </c>
      <c r="I106" s="164" t="s">
        <v>222</v>
      </c>
      <c r="J106" s="164" t="s">
        <v>220</v>
      </c>
      <c r="K106" s="164" t="s">
        <v>220</v>
      </c>
      <c r="L106" s="164" t="s">
        <v>220</v>
      </c>
      <c r="M106" s="164" t="s">
        <v>223</v>
      </c>
      <c r="N106" s="164" t="s">
        <v>93</v>
      </c>
      <c r="O106" s="164">
        <v>314</v>
      </c>
      <c r="P106" s="164">
        <v>0</v>
      </c>
      <c r="Q106" s="164">
        <v>0</v>
      </c>
      <c r="R106" s="164">
        <v>0</v>
      </c>
      <c r="S106" s="164">
        <v>0</v>
      </c>
      <c r="T106" s="164">
        <v>0</v>
      </c>
      <c r="U106" s="164">
        <v>0</v>
      </c>
      <c r="V106" s="164">
        <v>15.7</v>
      </c>
      <c r="W106" s="164">
        <v>329.7</v>
      </c>
      <c r="X106" s="164">
        <v>314</v>
      </c>
      <c r="Y106" s="164">
        <v>22</v>
      </c>
      <c r="Z106" s="164">
        <v>69.08</v>
      </c>
      <c r="AA106" s="164">
        <v>6.07</v>
      </c>
      <c r="AB106" s="164">
        <v>75.150000000000006</v>
      </c>
      <c r="AC106" s="164">
        <v>13.52</v>
      </c>
      <c r="AD106" s="164">
        <v>0</v>
      </c>
      <c r="AE106" s="164">
        <v>314</v>
      </c>
      <c r="AF106" s="164">
        <v>0</v>
      </c>
      <c r="AG106" s="164">
        <v>0</v>
      </c>
      <c r="AH106" s="164">
        <v>0.31</v>
      </c>
      <c r="AI106" s="164">
        <v>15.7</v>
      </c>
      <c r="AJ106" s="164">
        <v>0</v>
      </c>
      <c r="AK106" s="164">
        <v>29.53</v>
      </c>
      <c r="AL106" s="164">
        <v>0</v>
      </c>
      <c r="AM106" s="164">
        <v>0</v>
      </c>
      <c r="AN106" s="164">
        <v>0</v>
      </c>
      <c r="AO106" s="164">
        <v>0</v>
      </c>
      <c r="AP106" s="164">
        <v>0</v>
      </c>
      <c r="AQ106" s="164">
        <v>0</v>
      </c>
      <c r="AR106" s="164">
        <v>0</v>
      </c>
      <c r="AS106" s="164">
        <v>0</v>
      </c>
      <c r="AT106" s="164">
        <v>0</v>
      </c>
      <c r="AU106" s="164">
        <v>104.68</v>
      </c>
      <c r="AV106" s="164">
        <v>0</v>
      </c>
      <c r="AW106" s="164">
        <v>225.02</v>
      </c>
      <c r="AX106" s="164" t="s">
        <v>224</v>
      </c>
      <c r="AY106" s="164" t="s">
        <v>581</v>
      </c>
      <c r="AZ106" s="164" t="s">
        <v>582</v>
      </c>
      <c r="BA106" s="164">
        <v>0</v>
      </c>
      <c r="BB106" s="164" t="s">
        <v>606</v>
      </c>
    </row>
    <row r="107" spans="1:54">
      <c r="A107" s="164" t="s">
        <v>607</v>
      </c>
      <c r="B107" s="164" t="s">
        <v>608</v>
      </c>
      <c r="C107" s="164" t="s">
        <v>609</v>
      </c>
      <c r="D107" s="164" t="s">
        <v>49</v>
      </c>
      <c r="E107" s="164" t="s">
        <v>218</v>
      </c>
      <c r="F107" s="164" t="s">
        <v>219</v>
      </c>
      <c r="G107" s="164" t="s">
        <v>220</v>
      </c>
      <c r="H107" s="164" t="s">
        <v>221</v>
      </c>
      <c r="I107" s="164" t="s">
        <v>222</v>
      </c>
      <c r="J107" s="164" t="s">
        <v>220</v>
      </c>
      <c r="K107" s="164" t="s">
        <v>220</v>
      </c>
      <c r="L107" s="164" t="s">
        <v>220</v>
      </c>
      <c r="M107" s="164" t="s">
        <v>223</v>
      </c>
      <c r="N107" s="164" t="s">
        <v>93</v>
      </c>
      <c r="O107" s="164">
        <v>1145</v>
      </c>
      <c r="P107" s="164">
        <v>0</v>
      </c>
      <c r="Q107" s="164">
        <v>0</v>
      </c>
      <c r="R107" s="164">
        <v>0</v>
      </c>
      <c r="S107" s="164">
        <v>0</v>
      </c>
      <c r="T107" s="164">
        <v>0</v>
      </c>
      <c r="U107" s="164">
        <v>0</v>
      </c>
      <c r="V107" s="164">
        <v>57.25</v>
      </c>
      <c r="W107" s="164">
        <v>1202.25</v>
      </c>
      <c r="X107" s="164">
        <v>1145</v>
      </c>
      <c r="Y107" s="164">
        <v>22</v>
      </c>
      <c r="Z107" s="164">
        <v>251.9</v>
      </c>
      <c r="AA107" s="164">
        <v>22.12</v>
      </c>
      <c r="AB107" s="164">
        <v>274.02</v>
      </c>
      <c r="AC107" s="164">
        <v>49.32</v>
      </c>
      <c r="AD107" s="164">
        <v>0</v>
      </c>
      <c r="AE107" s="164">
        <v>1145</v>
      </c>
      <c r="AF107" s="164">
        <v>0</v>
      </c>
      <c r="AG107" s="164">
        <v>0</v>
      </c>
      <c r="AH107" s="164">
        <v>1.1399999999999999</v>
      </c>
      <c r="AI107" s="164">
        <v>57.25</v>
      </c>
      <c r="AJ107" s="164">
        <v>0</v>
      </c>
      <c r="AK107" s="164">
        <v>107.71</v>
      </c>
      <c r="AL107" s="164">
        <v>0</v>
      </c>
      <c r="AM107" s="164">
        <v>0</v>
      </c>
      <c r="AN107" s="164">
        <v>0</v>
      </c>
      <c r="AO107" s="164">
        <v>0</v>
      </c>
      <c r="AP107" s="164">
        <v>0</v>
      </c>
      <c r="AQ107" s="164">
        <v>0</v>
      </c>
      <c r="AR107" s="164">
        <v>0</v>
      </c>
      <c r="AS107" s="164">
        <v>0</v>
      </c>
      <c r="AT107" s="164">
        <v>0</v>
      </c>
      <c r="AU107" s="164">
        <v>381.73</v>
      </c>
      <c r="AV107" s="164">
        <v>0</v>
      </c>
      <c r="AW107" s="164">
        <v>820.52</v>
      </c>
      <c r="AX107" s="164" t="s">
        <v>224</v>
      </c>
      <c r="AY107" s="164" t="s">
        <v>581</v>
      </c>
      <c r="AZ107" s="164" t="s">
        <v>582</v>
      </c>
      <c r="BA107" s="164">
        <v>0</v>
      </c>
      <c r="BB107" s="164" t="s">
        <v>334</v>
      </c>
    </row>
    <row r="108" spans="1:54">
      <c r="A108" s="164" t="s">
        <v>610</v>
      </c>
      <c r="B108" s="164" t="s">
        <v>611</v>
      </c>
      <c r="C108" s="164" t="s">
        <v>612</v>
      </c>
      <c r="D108" s="164" t="s">
        <v>49</v>
      </c>
      <c r="E108" s="164" t="s">
        <v>218</v>
      </c>
      <c r="F108" s="164" t="s">
        <v>219</v>
      </c>
      <c r="G108" s="164" t="s">
        <v>220</v>
      </c>
      <c r="H108" s="164" t="s">
        <v>221</v>
      </c>
      <c r="I108" s="164" t="s">
        <v>222</v>
      </c>
      <c r="J108" s="164" t="s">
        <v>220</v>
      </c>
      <c r="K108" s="164" t="s">
        <v>220</v>
      </c>
      <c r="L108" s="164" t="s">
        <v>220</v>
      </c>
      <c r="M108" s="164" t="s">
        <v>223</v>
      </c>
      <c r="N108" s="164" t="s">
        <v>93</v>
      </c>
      <c r="O108" s="164">
        <v>762</v>
      </c>
      <c r="P108" s="164">
        <v>0</v>
      </c>
      <c r="Q108" s="164">
        <v>0</v>
      </c>
      <c r="R108" s="164">
        <v>0</v>
      </c>
      <c r="S108" s="164">
        <v>0</v>
      </c>
      <c r="T108" s="164">
        <v>0</v>
      </c>
      <c r="U108" s="164">
        <v>0</v>
      </c>
      <c r="V108" s="164">
        <v>38.1</v>
      </c>
      <c r="W108" s="164">
        <v>800.1</v>
      </c>
      <c r="X108" s="164">
        <v>762</v>
      </c>
      <c r="Y108" s="164">
        <v>22</v>
      </c>
      <c r="Z108" s="164">
        <v>167.64</v>
      </c>
      <c r="AA108" s="164">
        <v>14.72</v>
      </c>
      <c r="AB108" s="164">
        <v>182.36</v>
      </c>
      <c r="AC108" s="164">
        <v>32.83</v>
      </c>
      <c r="AD108" s="164">
        <v>0</v>
      </c>
      <c r="AE108" s="164">
        <v>762</v>
      </c>
      <c r="AF108" s="164">
        <v>0</v>
      </c>
      <c r="AG108" s="164">
        <v>0</v>
      </c>
      <c r="AH108" s="164">
        <v>0.76</v>
      </c>
      <c r="AI108" s="164">
        <v>38.1</v>
      </c>
      <c r="AJ108" s="164">
        <v>0</v>
      </c>
      <c r="AK108" s="164">
        <v>71.69</v>
      </c>
      <c r="AL108" s="164">
        <v>0</v>
      </c>
      <c r="AM108" s="164">
        <v>0</v>
      </c>
      <c r="AN108" s="164">
        <v>0</v>
      </c>
      <c r="AO108" s="164">
        <v>0</v>
      </c>
      <c r="AP108" s="164">
        <v>0</v>
      </c>
      <c r="AQ108" s="164">
        <v>0</v>
      </c>
      <c r="AR108" s="164">
        <v>0</v>
      </c>
      <c r="AS108" s="164">
        <v>0</v>
      </c>
      <c r="AT108" s="164">
        <v>0</v>
      </c>
      <c r="AU108" s="164">
        <v>254.05</v>
      </c>
      <c r="AV108" s="164">
        <v>0</v>
      </c>
      <c r="AW108" s="164">
        <v>546.04999999999995</v>
      </c>
      <c r="AX108" s="164" t="s">
        <v>224</v>
      </c>
      <c r="AY108" s="164" t="s">
        <v>581</v>
      </c>
      <c r="AZ108" s="164" t="s">
        <v>582</v>
      </c>
      <c r="BA108" s="164">
        <v>0</v>
      </c>
      <c r="BB108" s="164" t="s">
        <v>613</v>
      </c>
    </row>
    <row r="109" spans="1:54">
      <c r="A109" s="164" t="s">
        <v>614</v>
      </c>
      <c r="B109" s="164" t="s">
        <v>615</v>
      </c>
      <c r="C109" s="164" t="s">
        <v>616</v>
      </c>
      <c r="D109" s="164" t="s">
        <v>49</v>
      </c>
      <c r="E109" s="164" t="s">
        <v>218</v>
      </c>
      <c r="F109" s="164" t="s">
        <v>219</v>
      </c>
      <c r="G109" s="164" t="s">
        <v>220</v>
      </c>
      <c r="H109" s="164" t="s">
        <v>221</v>
      </c>
      <c r="I109" s="164" t="s">
        <v>222</v>
      </c>
      <c r="J109" s="164" t="s">
        <v>220</v>
      </c>
      <c r="K109" s="164" t="s">
        <v>220</v>
      </c>
      <c r="L109" s="164" t="s">
        <v>220</v>
      </c>
      <c r="M109" s="164" t="s">
        <v>223</v>
      </c>
      <c r="N109" s="164" t="s">
        <v>93</v>
      </c>
      <c r="O109" s="164">
        <v>243</v>
      </c>
      <c r="P109" s="164">
        <v>0</v>
      </c>
      <c r="Q109" s="164">
        <v>0</v>
      </c>
      <c r="R109" s="164">
        <v>0</v>
      </c>
      <c r="S109" s="164">
        <v>0</v>
      </c>
      <c r="T109" s="164">
        <v>0</v>
      </c>
      <c r="U109" s="164">
        <v>0</v>
      </c>
      <c r="V109" s="164">
        <v>12.15</v>
      </c>
      <c r="W109" s="164">
        <v>255.15</v>
      </c>
      <c r="X109" s="164">
        <v>243</v>
      </c>
      <c r="Y109" s="164">
        <v>22</v>
      </c>
      <c r="Z109" s="164">
        <v>53.46</v>
      </c>
      <c r="AA109" s="164">
        <v>4.6900000000000004</v>
      </c>
      <c r="AB109" s="164">
        <v>58.15</v>
      </c>
      <c r="AC109" s="164">
        <v>10.46</v>
      </c>
      <c r="AD109" s="164">
        <v>0</v>
      </c>
      <c r="AE109" s="164">
        <v>243</v>
      </c>
      <c r="AF109" s="164">
        <v>0</v>
      </c>
      <c r="AG109" s="164">
        <v>0</v>
      </c>
      <c r="AH109" s="164">
        <v>0.24</v>
      </c>
      <c r="AI109" s="164">
        <v>12.15</v>
      </c>
      <c r="AJ109" s="164">
        <v>0</v>
      </c>
      <c r="AK109" s="164">
        <v>22.85</v>
      </c>
      <c r="AL109" s="164">
        <v>0</v>
      </c>
      <c r="AM109" s="164">
        <v>0</v>
      </c>
      <c r="AN109" s="164">
        <v>0</v>
      </c>
      <c r="AO109" s="164">
        <v>0</v>
      </c>
      <c r="AP109" s="164">
        <v>0</v>
      </c>
      <c r="AQ109" s="164">
        <v>0</v>
      </c>
      <c r="AR109" s="164">
        <v>0</v>
      </c>
      <c r="AS109" s="164">
        <v>0</v>
      </c>
      <c r="AT109" s="164">
        <v>0</v>
      </c>
      <c r="AU109" s="164">
        <v>81</v>
      </c>
      <c r="AV109" s="164">
        <v>0</v>
      </c>
      <c r="AW109" s="164">
        <v>174.15</v>
      </c>
      <c r="AX109" s="164" t="s">
        <v>224</v>
      </c>
      <c r="AY109" s="164" t="s">
        <v>581</v>
      </c>
      <c r="AZ109" s="164" t="s">
        <v>582</v>
      </c>
      <c r="BA109" s="164">
        <v>0</v>
      </c>
      <c r="BB109" s="164" t="s">
        <v>617</v>
      </c>
    </row>
    <row r="110" spans="1:54">
      <c r="A110" s="164" t="s">
        <v>618</v>
      </c>
      <c r="B110" s="164" t="s">
        <v>619</v>
      </c>
      <c r="C110" s="164" t="s">
        <v>620</v>
      </c>
      <c r="D110" s="164" t="s">
        <v>49</v>
      </c>
      <c r="E110" s="164" t="s">
        <v>218</v>
      </c>
      <c r="F110" s="164" t="s">
        <v>219</v>
      </c>
      <c r="G110" s="164" t="s">
        <v>220</v>
      </c>
      <c r="H110" s="164" t="s">
        <v>221</v>
      </c>
      <c r="I110" s="164" t="s">
        <v>222</v>
      </c>
      <c r="J110" s="164" t="s">
        <v>220</v>
      </c>
      <c r="K110" s="164" t="s">
        <v>220</v>
      </c>
      <c r="L110" s="164" t="s">
        <v>220</v>
      </c>
      <c r="M110" s="164" t="s">
        <v>223</v>
      </c>
      <c r="N110" s="164" t="s">
        <v>93</v>
      </c>
      <c r="O110" s="164">
        <v>229</v>
      </c>
      <c r="P110" s="164">
        <v>0</v>
      </c>
      <c r="Q110" s="164">
        <v>0</v>
      </c>
      <c r="R110" s="164">
        <v>0</v>
      </c>
      <c r="S110" s="164">
        <v>0</v>
      </c>
      <c r="T110" s="164">
        <v>0</v>
      </c>
      <c r="U110" s="164">
        <v>0</v>
      </c>
      <c r="V110" s="164">
        <v>11.45</v>
      </c>
      <c r="W110" s="164">
        <v>240.45</v>
      </c>
      <c r="X110" s="164">
        <v>229</v>
      </c>
      <c r="Y110" s="164">
        <v>22</v>
      </c>
      <c r="Z110" s="164">
        <v>50.38</v>
      </c>
      <c r="AA110" s="164">
        <v>4.42</v>
      </c>
      <c r="AB110" s="164">
        <v>54.8</v>
      </c>
      <c r="AC110" s="164">
        <v>9.8699999999999992</v>
      </c>
      <c r="AD110" s="164">
        <v>0</v>
      </c>
      <c r="AE110" s="164">
        <v>229</v>
      </c>
      <c r="AF110" s="164">
        <v>0</v>
      </c>
      <c r="AG110" s="164">
        <v>0</v>
      </c>
      <c r="AH110" s="164">
        <v>0.23</v>
      </c>
      <c r="AI110" s="164">
        <v>11.45</v>
      </c>
      <c r="AJ110" s="164">
        <v>0</v>
      </c>
      <c r="AK110" s="164">
        <v>21.55</v>
      </c>
      <c r="AL110" s="164">
        <v>0</v>
      </c>
      <c r="AM110" s="164">
        <v>0</v>
      </c>
      <c r="AN110" s="164">
        <v>0</v>
      </c>
      <c r="AO110" s="164">
        <v>0</v>
      </c>
      <c r="AP110" s="164">
        <v>0</v>
      </c>
      <c r="AQ110" s="164">
        <v>0</v>
      </c>
      <c r="AR110" s="164">
        <v>0</v>
      </c>
      <c r="AS110" s="164">
        <v>0</v>
      </c>
      <c r="AT110" s="164">
        <v>0</v>
      </c>
      <c r="AU110" s="164">
        <v>76.349999999999994</v>
      </c>
      <c r="AV110" s="164">
        <v>0</v>
      </c>
      <c r="AW110" s="164">
        <v>164.1</v>
      </c>
      <c r="AX110" s="164" t="s">
        <v>224</v>
      </c>
      <c r="AY110" s="164" t="s">
        <v>581</v>
      </c>
      <c r="AZ110" s="164" t="s">
        <v>582</v>
      </c>
      <c r="BA110" s="164">
        <v>0</v>
      </c>
      <c r="BB110" s="164" t="s">
        <v>621</v>
      </c>
    </row>
    <row r="111" spans="1:54">
      <c r="A111" s="164" t="s">
        <v>622</v>
      </c>
      <c r="B111" s="164" t="s">
        <v>623</v>
      </c>
      <c r="C111" s="164" t="s">
        <v>624</v>
      </c>
      <c r="D111" s="164" t="s">
        <v>49</v>
      </c>
      <c r="E111" s="164" t="s">
        <v>218</v>
      </c>
      <c r="F111" s="164" t="s">
        <v>219</v>
      </c>
      <c r="G111" s="164" t="s">
        <v>220</v>
      </c>
      <c r="H111" s="164" t="s">
        <v>221</v>
      </c>
      <c r="I111" s="164" t="s">
        <v>222</v>
      </c>
      <c r="J111" s="164" t="s">
        <v>220</v>
      </c>
      <c r="K111" s="164" t="s">
        <v>220</v>
      </c>
      <c r="L111" s="164" t="s">
        <v>220</v>
      </c>
      <c r="M111" s="164" t="s">
        <v>223</v>
      </c>
      <c r="N111" s="164" t="s">
        <v>93</v>
      </c>
      <c r="O111" s="164">
        <v>378</v>
      </c>
      <c r="P111" s="164">
        <v>0</v>
      </c>
      <c r="Q111" s="164">
        <v>0</v>
      </c>
      <c r="R111" s="164">
        <v>0</v>
      </c>
      <c r="S111" s="164">
        <v>0</v>
      </c>
      <c r="T111" s="164">
        <v>0</v>
      </c>
      <c r="U111" s="164">
        <v>0</v>
      </c>
      <c r="V111" s="164">
        <v>18.899999999999999</v>
      </c>
      <c r="W111" s="164">
        <v>396.9</v>
      </c>
      <c r="X111" s="164">
        <v>378</v>
      </c>
      <c r="Y111" s="164">
        <v>22</v>
      </c>
      <c r="Z111" s="164">
        <v>83.16</v>
      </c>
      <c r="AA111" s="164">
        <v>7.3</v>
      </c>
      <c r="AB111" s="164">
        <v>90.46</v>
      </c>
      <c r="AC111" s="164">
        <v>16.28</v>
      </c>
      <c r="AD111" s="164">
        <v>0</v>
      </c>
      <c r="AE111" s="164">
        <v>378</v>
      </c>
      <c r="AF111" s="164">
        <v>0</v>
      </c>
      <c r="AG111" s="164">
        <v>0</v>
      </c>
      <c r="AH111" s="164">
        <v>0.38</v>
      </c>
      <c r="AI111" s="164">
        <v>18.899999999999999</v>
      </c>
      <c r="AJ111" s="164">
        <v>0</v>
      </c>
      <c r="AK111" s="164">
        <v>35.56</v>
      </c>
      <c r="AL111" s="164">
        <v>0</v>
      </c>
      <c r="AM111" s="164">
        <v>0</v>
      </c>
      <c r="AN111" s="164">
        <v>0</v>
      </c>
      <c r="AO111" s="164">
        <v>0</v>
      </c>
      <c r="AP111" s="164">
        <v>0</v>
      </c>
      <c r="AQ111" s="164">
        <v>0</v>
      </c>
      <c r="AR111" s="164">
        <v>0</v>
      </c>
      <c r="AS111" s="164">
        <v>0</v>
      </c>
      <c r="AT111" s="164">
        <v>0</v>
      </c>
      <c r="AU111" s="164">
        <v>126.02</v>
      </c>
      <c r="AV111" s="164">
        <v>0</v>
      </c>
      <c r="AW111" s="164">
        <v>270.88</v>
      </c>
      <c r="AX111" s="164" t="s">
        <v>224</v>
      </c>
      <c r="AY111" s="164" t="s">
        <v>581</v>
      </c>
      <c r="AZ111" s="164" t="s">
        <v>582</v>
      </c>
      <c r="BA111" s="164">
        <v>0</v>
      </c>
      <c r="BB111" s="164" t="s">
        <v>625</v>
      </c>
    </row>
    <row r="112" spans="1:54">
      <c r="A112" s="164" t="s">
        <v>626</v>
      </c>
      <c r="B112" s="164" t="s">
        <v>627</v>
      </c>
      <c r="C112" s="164" t="s">
        <v>628</v>
      </c>
      <c r="D112" s="164" t="s">
        <v>49</v>
      </c>
      <c r="E112" s="164" t="s">
        <v>218</v>
      </c>
      <c r="F112" s="164" t="s">
        <v>219</v>
      </c>
      <c r="G112" s="164" t="s">
        <v>220</v>
      </c>
      <c r="H112" s="164" t="s">
        <v>221</v>
      </c>
      <c r="I112" s="164" t="s">
        <v>222</v>
      </c>
      <c r="J112" s="164" t="s">
        <v>220</v>
      </c>
      <c r="K112" s="164" t="s">
        <v>220</v>
      </c>
      <c r="L112" s="164" t="s">
        <v>220</v>
      </c>
      <c r="M112" s="164" t="s">
        <v>223</v>
      </c>
      <c r="N112" s="164" t="s">
        <v>93</v>
      </c>
      <c r="O112" s="164">
        <v>370</v>
      </c>
      <c r="P112" s="164">
        <v>0</v>
      </c>
      <c r="Q112" s="164">
        <v>0</v>
      </c>
      <c r="R112" s="164">
        <v>0</v>
      </c>
      <c r="S112" s="164">
        <v>0</v>
      </c>
      <c r="T112" s="164">
        <v>0</v>
      </c>
      <c r="U112" s="164">
        <v>0</v>
      </c>
      <c r="V112" s="164">
        <v>18.5</v>
      </c>
      <c r="W112" s="164">
        <v>388.5</v>
      </c>
      <c r="X112" s="164">
        <v>370</v>
      </c>
      <c r="Y112" s="164">
        <v>22</v>
      </c>
      <c r="Z112" s="164">
        <v>81.400000000000006</v>
      </c>
      <c r="AA112" s="164">
        <v>7.15</v>
      </c>
      <c r="AB112" s="164">
        <v>88.55</v>
      </c>
      <c r="AC112" s="164">
        <v>15.94</v>
      </c>
      <c r="AD112" s="164">
        <v>0</v>
      </c>
      <c r="AE112" s="164">
        <v>370</v>
      </c>
      <c r="AF112" s="164">
        <v>0</v>
      </c>
      <c r="AG112" s="164">
        <v>0</v>
      </c>
      <c r="AH112" s="164">
        <v>0.37</v>
      </c>
      <c r="AI112" s="164">
        <v>18.5</v>
      </c>
      <c r="AJ112" s="164">
        <v>0</v>
      </c>
      <c r="AK112" s="164">
        <v>34.81</v>
      </c>
      <c r="AL112" s="164">
        <v>0</v>
      </c>
      <c r="AM112" s="164">
        <v>0</v>
      </c>
      <c r="AN112" s="164">
        <v>0</v>
      </c>
      <c r="AO112" s="164">
        <v>0</v>
      </c>
      <c r="AP112" s="164">
        <v>0</v>
      </c>
      <c r="AQ112" s="164">
        <v>0</v>
      </c>
      <c r="AR112" s="164">
        <v>0</v>
      </c>
      <c r="AS112" s="164">
        <v>0</v>
      </c>
      <c r="AT112" s="164">
        <v>0</v>
      </c>
      <c r="AU112" s="164">
        <v>123.36</v>
      </c>
      <c r="AV112" s="164">
        <v>0</v>
      </c>
      <c r="AW112" s="164">
        <v>265.14</v>
      </c>
      <c r="AX112" s="164" t="s">
        <v>224</v>
      </c>
      <c r="AY112" s="164" t="s">
        <v>581</v>
      </c>
      <c r="AZ112" s="164" t="s">
        <v>582</v>
      </c>
      <c r="BA112" s="164">
        <v>0</v>
      </c>
      <c r="BB112" s="164" t="s">
        <v>629</v>
      </c>
    </row>
    <row r="113" spans="1:54">
      <c r="A113" s="164" t="s">
        <v>630</v>
      </c>
      <c r="B113" s="164" t="s">
        <v>631</v>
      </c>
      <c r="C113" s="164" t="s">
        <v>632</v>
      </c>
      <c r="D113" s="164" t="s">
        <v>49</v>
      </c>
      <c r="E113" s="164" t="s">
        <v>218</v>
      </c>
      <c r="F113" s="164" t="s">
        <v>219</v>
      </c>
      <c r="G113" s="164" t="s">
        <v>220</v>
      </c>
      <c r="H113" s="164" t="s">
        <v>221</v>
      </c>
      <c r="I113" s="164" t="s">
        <v>222</v>
      </c>
      <c r="J113" s="164" t="s">
        <v>220</v>
      </c>
      <c r="K113" s="164" t="s">
        <v>220</v>
      </c>
      <c r="L113" s="164" t="s">
        <v>220</v>
      </c>
      <c r="M113" s="164" t="s">
        <v>223</v>
      </c>
      <c r="N113" s="164" t="s">
        <v>93</v>
      </c>
      <c r="O113" s="164">
        <v>378</v>
      </c>
      <c r="P113" s="164">
        <v>0</v>
      </c>
      <c r="Q113" s="164">
        <v>0</v>
      </c>
      <c r="R113" s="164">
        <v>0</v>
      </c>
      <c r="S113" s="164">
        <v>0</v>
      </c>
      <c r="T113" s="164">
        <v>0</v>
      </c>
      <c r="U113" s="164">
        <v>0</v>
      </c>
      <c r="V113" s="164">
        <v>18.899999999999999</v>
      </c>
      <c r="W113" s="164">
        <v>396.9</v>
      </c>
      <c r="X113" s="164">
        <v>378</v>
      </c>
      <c r="Y113" s="164">
        <v>22</v>
      </c>
      <c r="Z113" s="164">
        <v>83.16</v>
      </c>
      <c r="AA113" s="164">
        <v>7.3</v>
      </c>
      <c r="AB113" s="164">
        <v>90.46</v>
      </c>
      <c r="AC113" s="164">
        <v>16.28</v>
      </c>
      <c r="AD113" s="164">
        <v>0</v>
      </c>
      <c r="AE113" s="164">
        <v>378</v>
      </c>
      <c r="AF113" s="164">
        <v>0</v>
      </c>
      <c r="AG113" s="164">
        <v>0</v>
      </c>
      <c r="AH113" s="164">
        <v>0.38</v>
      </c>
      <c r="AI113" s="164">
        <v>18.899999999999999</v>
      </c>
      <c r="AJ113" s="164">
        <v>0</v>
      </c>
      <c r="AK113" s="164">
        <v>35.56</v>
      </c>
      <c r="AL113" s="164">
        <v>0</v>
      </c>
      <c r="AM113" s="164">
        <v>0</v>
      </c>
      <c r="AN113" s="164">
        <v>0</v>
      </c>
      <c r="AO113" s="164">
        <v>0</v>
      </c>
      <c r="AP113" s="164">
        <v>0</v>
      </c>
      <c r="AQ113" s="164">
        <v>0</v>
      </c>
      <c r="AR113" s="164">
        <v>0</v>
      </c>
      <c r="AS113" s="164">
        <v>0</v>
      </c>
      <c r="AT113" s="164">
        <v>0</v>
      </c>
      <c r="AU113" s="164">
        <v>126.02</v>
      </c>
      <c r="AV113" s="164">
        <v>0</v>
      </c>
      <c r="AW113" s="164">
        <v>270.88</v>
      </c>
      <c r="AX113" s="164" t="s">
        <v>224</v>
      </c>
      <c r="AY113" s="164" t="s">
        <v>581</v>
      </c>
      <c r="AZ113" s="164" t="s">
        <v>582</v>
      </c>
      <c r="BA113" s="164">
        <v>0</v>
      </c>
      <c r="BB113" s="164" t="s">
        <v>633</v>
      </c>
    </row>
    <row r="114" spans="1:54">
      <c r="A114" s="164" t="s">
        <v>634</v>
      </c>
      <c r="B114" s="164" t="s">
        <v>635</v>
      </c>
      <c r="C114" s="164" t="s">
        <v>636</v>
      </c>
      <c r="D114" s="164" t="s">
        <v>49</v>
      </c>
      <c r="E114" s="164" t="s">
        <v>218</v>
      </c>
      <c r="F114" s="164" t="s">
        <v>219</v>
      </c>
      <c r="G114" s="164" t="s">
        <v>220</v>
      </c>
      <c r="H114" s="164" t="s">
        <v>221</v>
      </c>
      <c r="I114" s="164" t="s">
        <v>222</v>
      </c>
      <c r="J114" s="164" t="s">
        <v>220</v>
      </c>
      <c r="K114" s="164" t="s">
        <v>220</v>
      </c>
      <c r="L114" s="164" t="s">
        <v>220</v>
      </c>
      <c r="M114" s="164" t="s">
        <v>223</v>
      </c>
      <c r="N114" s="164" t="s">
        <v>93</v>
      </c>
      <c r="O114" s="164">
        <v>283</v>
      </c>
      <c r="P114" s="164">
        <v>0</v>
      </c>
      <c r="Q114" s="164">
        <v>0</v>
      </c>
      <c r="R114" s="164">
        <v>0</v>
      </c>
      <c r="S114" s="164">
        <v>0</v>
      </c>
      <c r="T114" s="164">
        <v>0</v>
      </c>
      <c r="U114" s="164">
        <v>0</v>
      </c>
      <c r="V114" s="164">
        <v>14.15</v>
      </c>
      <c r="W114" s="164">
        <v>297.14999999999998</v>
      </c>
      <c r="X114" s="164">
        <v>283</v>
      </c>
      <c r="Y114" s="164">
        <v>22</v>
      </c>
      <c r="Z114" s="164">
        <v>62.26</v>
      </c>
      <c r="AA114" s="164">
        <v>5.47</v>
      </c>
      <c r="AB114" s="164">
        <v>67.73</v>
      </c>
      <c r="AC114" s="164">
        <v>12.19</v>
      </c>
      <c r="AD114" s="164">
        <v>0</v>
      </c>
      <c r="AE114" s="164">
        <v>283</v>
      </c>
      <c r="AF114" s="164">
        <v>0</v>
      </c>
      <c r="AG114" s="164">
        <v>0</v>
      </c>
      <c r="AH114" s="164">
        <v>0.28000000000000003</v>
      </c>
      <c r="AI114" s="164">
        <v>14.15</v>
      </c>
      <c r="AJ114" s="164">
        <v>0</v>
      </c>
      <c r="AK114" s="164">
        <v>26.62</v>
      </c>
      <c r="AL114" s="164">
        <v>0</v>
      </c>
      <c r="AM114" s="164">
        <v>0</v>
      </c>
      <c r="AN114" s="164">
        <v>0</v>
      </c>
      <c r="AO114" s="164">
        <v>0</v>
      </c>
      <c r="AP114" s="164">
        <v>0</v>
      </c>
      <c r="AQ114" s="164">
        <v>0</v>
      </c>
      <c r="AR114" s="164">
        <v>0</v>
      </c>
      <c r="AS114" s="164">
        <v>0</v>
      </c>
      <c r="AT114" s="164">
        <v>0</v>
      </c>
      <c r="AU114" s="164">
        <v>94.35</v>
      </c>
      <c r="AV114" s="164">
        <v>0</v>
      </c>
      <c r="AW114" s="164">
        <v>202.8</v>
      </c>
      <c r="AX114" s="164" t="s">
        <v>224</v>
      </c>
      <c r="AY114" s="164" t="s">
        <v>581</v>
      </c>
      <c r="AZ114" s="164" t="s">
        <v>582</v>
      </c>
      <c r="BA114" s="164">
        <v>0</v>
      </c>
      <c r="BB114" s="164" t="s">
        <v>637</v>
      </c>
    </row>
    <row r="115" spans="1:54">
      <c r="A115" s="164" t="s">
        <v>638</v>
      </c>
      <c r="B115" s="164" t="s">
        <v>639</v>
      </c>
      <c r="C115" s="164" t="s">
        <v>640</v>
      </c>
      <c r="D115" s="164" t="s">
        <v>49</v>
      </c>
      <c r="E115" s="164" t="s">
        <v>218</v>
      </c>
      <c r="F115" s="164" t="s">
        <v>219</v>
      </c>
      <c r="G115" s="164" t="s">
        <v>220</v>
      </c>
      <c r="H115" s="164" t="s">
        <v>221</v>
      </c>
      <c r="I115" s="164" t="s">
        <v>222</v>
      </c>
      <c r="J115" s="164" t="s">
        <v>220</v>
      </c>
      <c r="K115" s="164" t="s">
        <v>220</v>
      </c>
      <c r="L115" s="164" t="s">
        <v>220</v>
      </c>
      <c r="M115" s="164" t="s">
        <v>223</v>
      </c>
      <c r="N115" s="164" t="s">
        <v>93</v>
      </c>
      <c r="O115" s="164">
        <v>360</v>
      </c>
      <c r="P115" s="164">
        <v>0</v>
      </c>
      <c r="Q115" s="164">
        <v>0</v>
      </c>
      <c r="R115" s="164">
        <v>0</v>
      </c>
      <c r="S115" s="164">
        <v>0</v>
      </c>
      <c r="T115" s="164">
        <v>0</v>
      </c>
      <c r="U115" s="164">
        <v>0</v>
      </c>
      <c r="V115" s="164">
        <v>18</v>
      </c>
      <c r="W115" s="164">
        <v>378</v>
      </c>
      <c r="X115" s="164">
        <v>360</v>
      </c>
      <c r="Y115" s="164">
        <v>22</v>
      </c>
      <c r="Z115" s="164">
        <v>79.2</v>
      </c>
      <c r="AA115" s="164">
        <v>6.96</v>
      </c>
      <c r="AB115" s="164">
        <v>86.16</v>
      </c>
      <c r="AC115" s="164">
        <v>15.51</v>
      </c>
      <c r="AD115" s="164">
        <v>0</v>
      </c>
      <c r="AE115" s="164">
        <v>360</v>
      </c>
      <c r="AF115" s="164">
        <v>0</v>
      </c>
      <c r="AG115" s="164">
        <v>0</v>
      </c>
      <c r="AH115" s="164">
        <v>0.36</v>
      </c>
      <c r="AI115" s="164">
        <v>18</v>
      </c>
      <c r="AJ115" s="164">
        <v>0</v>
      </c>
      <c r="AK115" s="164">
        <v>33.869999999999997</v>
      </c>
      <c r="AL115" s="164">
        <v>0</v>
      </c>
      <c r="AM115" s="164">
        <v>0</v>
      </c>
      <c r="AN115" s="164">
        <v>0</v>
      </c>
      <c r="AO115" s="164">
        <v>0</v>
      </c>
      <c r="AP115" s="164">
        <v>0</v>
      </c>
      <c r="AQ115" s="164">
        <v>0</v>
      </c>
      <c r="AR115" s="164">
        <v>0</v>
      </c>
      <c r="AS115" s="164">
        <v>0</v>
      </c>
      <c r="AT115" s="164">
        <v>0</v>
      </c>
      <c r="AU115" s="164">
        <v>120.03</v>
      </c>
      <c r="AV115" s="164">
        <v>0</v>
      </c>
      <c r="AW115" s="164">
        <v>257.97000000000003</v>
      </c>
      <c r="AX115" s="164" t="s">
        <v>224</v>
      </c>
      <c r="AY115" s="164" t="s">
        <v>581</v>
      </c>
      <c r="AZ115" s="164" t="s">
        <v>582</v>
      </c>
      <c r="BA115" s="164">
        <v>0</v>
      </c>
      <c r="BB115" s="164" t="s">
        <v>641</v>
      </c>
    </row>
    <row r="116" spans="1:54">
      <c r="A116" s="164" t="s">
        <v>642</v>
      </c>
      <c r="B116" s="164" t="s">
        <v>643</v>
      </c>
      <c r="C116" s="164" t="s">
        <v>644</v>
      </c>
      <c r="D116" s="164" t="s">
        <v>49</v>
      </c>
      <c r="E116" s="164" t="s">
        <v>218</v>
      </c>
      <c r="F116" s="164" t="s">
        <v>219</v>
      </c>
      <c r="G116" s="164" t="s">
        <v>220</v>
      </c>
      <c r="H116" s="164" t="s">
        <v>221</v>
      </c>
      <c r="I116" s="164" t="s">
        <v>222</v>
      </c>
      <c r="J116" s="164" t="s">
        <v>220</v>
      </c>
      <c r="K116" s="164" t="s">
        <v>220</v>
      </c>
      <c r="L116" s="164" t="s">
        <v>220</v>
      </c>
      <c r="M116" s="164" t="s">
        <v>223</v>
      </c>
      <c r="N116" s="164" t="s">
        <v>93</v>
      </c>
      <c r="O116" s="164">
        <v>209</v>
      </c>
      <c r="P116" s="164">
        <v>0</v>
      </c>
      <c r="Q116" s="164">
        <v>0</v>
      </c>
      <c r="R116" s="164">
        <v>0</v>
      </c>
      <c r="S116" s="164">
        <v>0</v>
      </c>
      <c r="T116" s="164">
        <v>0</v>
      </c>
      <c r="U116" s="164">
        <v>0</v>
      </c>
      <c r="V116" s="164">
        <v>10.45</v>
      </c>
      <c r="W116" s="164">
        <v>219.45</v>
      </c>
      <c r="X116" s="164">
        <v>209</v>
      </c>
      <c r="Y116" s="164">
        <v>22</v>
      </c>
      <c r="Z116" s="164">
        <v>45.98</v>
      </c>
      <c r="AA116" s="164">
        <v>4.04</v>
      </c>
      <c r="AB116" s="164">
        <v>50.02</v>
      </c>
      <c r="AC116" s="164">
        <v>9.01</v>
      </c>
      <c r="AD116" s="164">
        <v>0</v>
      </c>
      <c r="AE116" s="164">
        <v>209</v>
      </c>
      <c r="AF116" s="164">
        <v>0</v>
      </c>
      <c r="AG116" s="164">
        <v>0</v>
      </c>
      <c r="AH116" s="164">
        <v>0.21</v>
      </c>
      <c r="AI116" s="164">
        <v>10.45</v>
      </c>
      <c r="AJ116" s="164">
        <v>0</v>
      </c>
      <c r="AK116" s="164">
        <v>19.670000000000002</v>
      </c>
      <c r="AL116" s="164">
        <v>0</v>
      </c>
      <c r="AM116" s="164">
        <v>0</v>
      </c>
      <c r="AN116" s="164">
        <v>0</v>
      </c>
      <c r="AO116" s="164">
        <v>0</v>
      </c>
      <c r="AP116" s="164">
        <v>0</v>
      </c>
      <c r="AQ116" s="164">
        <v>0</v>
      </c>
      <c r="AR116" s="164">
        <v>0</v>
      </c>
      <c r="AS116" s="164">
        <v>0</v>
      </c>
      <c r="AT116" s="164">
        <v>0</v>
      </c>
      <c r="AU116" s="164">
        <v>69.69</v>
      </c>
      <c r="AV116" s="164">
        <v>0</v>
      </c>
      <c r="AW116" s="164">
        <v>149.76</v>
      </c>
      <c r="AX116" s="164" t="s">
        <v>224</v>
      </c>
      <c r="AY116" s="164" t="s">
        <v>581</v>
      </c>
      <c r="AZ116" s="164" t="s">
        <v>582</v>
      </c>
      <c r="BA116" s="164">
        <v>0</v>
      </c>
      <c r="BB116" s="164" t="s">
        <v>645</v>
      </c>
    </row>
    <row r="117" spans="1:54">
      <c r="A117" s="164" t="s">
        <v>646</v>
      </c>
      <c r="B117" s="164" t="s">
        <v>647</v>
      </c>
      <c r="C117" s="164" t="s">
        <v>648</v>
      </c>
      <c r="D117" s="164" t="s">
        <v>49</v>
      </c>
      <c r="E117" s="164" t="s">
        <v>218</v>
      </c>
      <c r="F117" s="164" t="s">
        <v>219</v>
      </c>
      <c r="G117" s="164" t="s">
        <v>220</v>
      </c>
      <c r="H117" s="164" t="s">
        <v>221</v>
      </c>
      <c r="I117" s="164" t="s">
        <v>222</v>
      </c>
      <c r="J117" s="164" t="s">
        <v>220</v>
      </c>
      <c r="K117" s="164" t="s">
        <v>220</v>
      </c>
      <c r="L117" s="164" t="s">
        <v>220</v>
      </c>
      <c r="M117" s="164" t="s">
        <v>223</v>
      </c>
      <c r="N117" s="164" t="s">
        <v>93</v>
      </c>
      <c r="O117" s="164">
        <v>294</v>
      </c>
      <c r="P117" s="164">
        <v>0</v>
      </c>
      <c r="Q117" s="164">
        <v>0</v>
      </c>
      <c r="R117" s="164">
        <v>0</v>
      </c>
      <c r="S117" s="164">
        <v>0</v>
      </c>
      <c r="T117" s="164">
        <v>0</v>
      </c>
      <c r="U117" s="164">
        <v>0</v>
      </c>
      <c r="V117" s="164">
        <v>14.7</v>
      </c>
      <c r="W117" s="164">
        <v>308.7</v>
      </c>
      <c r="X117" s="164">
        <v>294</v>
      </c>
      <c r="Y117" s="164">
        <v>22</v>
      </c>
      <c r="Z117" s="164">
        <v>64.680000000000007</v>
      </c>
      <c r="AA117" s="164">
        <v>5.68</v>
      </c>
      <c r="AB117" s="164">
        <v>70.36</v>
      </c>
      <c r="AC117" s="164">
        <v>12.66</v>
      </c>
      <c r="AD117" s="164">
        <v>0</v>
      </c>
      <c r="AE117" s="164">
        <v>294</v>
      </c>
      <c r="AF117" s="164">
        <v>0</v>
      </c>
      <c r="AG117" s="164">
        <v>0</v>
      </c>
      <c r="AH117" s="164">
        <v>0.28999999999999998</v>
      </c>
      <c r="AI117" s="164">
        <v>14.7</v>
      </c>
      <c r="AJ117" s="164">
        <v>0</v>
      </c>
      <c r="AK117" s="164">
        <v>27.65</v>
      </c>
      <c r="AL117" s="164">
        <v>0</v>
      </c>
      <c r="AM117" s="164">
        <v>0</v>
      </c>
      <c r="AN117" s="164">
        <v>0</v>
      </c>
      <c r="AO117" s="164">
        <v>0</v>
      </c>
      <c r="AP117" s="164">
        <v>0</v>
      </c>
      <c r="AQ117" s="164">
        <v>0</v>
      </c>
      <c r="AR117" s="164">
        <v>0</v>
      </c>
      <c r="AS117" s="164">
        <v>0</v>
      </c>
      <c r="AT117" s="164">
        <v>0</v>
      </c>
      <c r="AU117" s="164">
        <v>98.01</v>
      </c>
      <c r="AV117" s="164">
        <v>0</v>
      </c>
      <c r="AW117" s="164">
        <v>210.69</v>
      </c>
      <c r="AX117" s="164" t="s">
        <v>224</v>
      </c>
      <c r="AY117" s="164" t="s">
        <v>581</v>
      </c>
      <c r="AZ117" s="164" t="s">
        <v>582</v>
      </c>
      <c r="BA117" s="164">
        <v>0</v>
      </c>
      <c r="BB117" s="164" t="s">
        <v>649</v>
      </c>
    </row>
    <row r="118" spans="1:54">
      <c r="A118" s="164" t="s">
        <v>650</v>
      </c>
      <c r="B118" s="164" t="s">
        <v>651</v>
      </c>
      <c r="C118" s="164" t="s">
        <v>652</v>
      </c>
      <c r="D118" s="164" t="s">
        <v>49</v>
      </c>
      <c r="E118" s="164" t="s">
        <v>218</v>
      </c>
      <c r="F118" s="164" t="s">
        <v>219</v>
      </c>
      <c r="G118" s="164" t="s">
        <v>220</v>
      </c>
      <c r="H118" s="164" t="s">
        <v>221</v>
      </c>
      <c r="I118" s="164" t="s">
        <v>222</v>
      </c>
      <c r="J118" s="164" t="s">
        <v>220</v>
      </c>
      <c r="K118" s="164" t="s">
        <v>220</v>
      </c>
      <c r="L118" s="164" t="s">
        <v>220</v>
      </c>
      <c r="M118" s="164" t="s">
        <v>223</v>
      </c>
      <c r="N118" s="164" t="s">
        <v>93</v>
      </c>
      <c r="O118" s="164">
        <v>118</v>
      </c>
      <c r="P118" s="164">
        <v>0</v>
      </c>
      <c r="Q118" s="164">
        <v>0</v>
      </c>
      <c r="R118" s="164">
        <v>0</v>
      </c>
      <c r="S118" s="164">
        <v>0</v>
      </c>
      <c r="T118" s="164">
        <v>0</v>
      </c>
      <c r="U118" s="164">
        <v>0</v>
      </c>
      <c r="V118" s="164">
        <v>5.9</v>
      </c>
      <c r="W118" s="164">
        <v>123.9</v>
      </c>
      <c r="X118" s="164">
        <v>118</v>
      </c>
      <c r="Y118" s="164">
        <v>22</v>
      </c>
      <c r="Z118" s="164">
        <v>25.96</v>
      </c>
      <c r="AA118" s="164">
        <v>2.2799999999999998</v>
      </c>
      <c r="AB118" s="164">
        <v>28.24</v>
      </c>
      <c r="AC118" s="164">
        <v>5.08</v>
      </c>
      <c r="AD118" s="164">
        <v>0</v>
      </c>
      <c r="AE118" s="164">
        <v>118</v>
      </c>
      <c r="AF118" s="164">
        <v>0</v>
      </c>
      <c r="AG118" s="164">
        <v>0</v>
      </c>
      <c r="AH118" s="164">
        <v>0.12</v>
      </c>
      <c r="AI118" s="164">
        <v>5.9</v>
      </c>
      <c r="AJ118" s="164">
        <v>0</v>
      </c>
      <c r="AK118" s="164">
        <v>11.1</v>
      </c>
      <c r="AL118" s="164">
        <v>0</v>
      </c>
      <c r="AM118" s="164">
        <v>0</v>
      </c>
      <c r="AN118" s="164">
        <v>0</v>
      </c>
      <c r="AO118" s="164">
        <v>0</v>
      </c>
      <c r="AP118" s="164">
        <v>0</v>
      </c>
      <c r="AQ118" s="164">
        <v>0</v>
      </c>
      <c r="AR118" s="164">
        <v>0</v>
      </c>
      <c r="AS118" s="164">
        <v>0</v>
      </c>
      <c r="AT118" s="164">
        <v>0</v>
      </c>
      <c r="AU118" s="164">
        <v>39.340000000000003</v>
      </c>
      <c r="AV118" s="164">
        <v>0</v>
      </c>
      <c r="AW118" s="164">
        <v>84.56</v>
      </c>
      <c r="AX118" s="164" t="s">
        <v>224</v>
      </c>
      <c r="AY118" s="164" t="s">
        <v>581</v>
      </c>
      <c r="AZ118" s="164" t="s">
        <v>582</v>
      </c>
      <c r="BA118" s="164">
        <v>0</v>
      </c>
      <c r="BB118" s="164" t="s">
        <v>255</v>
      </c>
    </row>
    <row r="119" spans="1:54">
      <c r="A119" s="164" t="s">
        <v>653</v>
      </c>
      <c r="B119" s="164" t="s">
        <v>654</v>
      </c>
      <c r="C119" s="164" t="s">
        <v>655</v>
      </c>
      <c r="D119" s="164" t="s">
        <v>49</v>
      </c>
      <c r="E119" s="164" t="s">
        <v>218</v>
      </c>
      <c r="F119" s="164" t="s">
        <v>219</v>
      </c>
      <c r="G119" s="164" t="s">
        <v>220</v>
      </c>
      <c r="H119" s="164" t="s">
        <v>221</v>
      </c>
      <c r="I119" s="164" t="s">
        <v>222</v>
      </c>
      <c r="J119" s="164" t="s">
        <v>220</v>
      </c>
      <c r="K119" s="164" t="s">
        <v>220</v>
      </c>
      <c r="L119" s="164" t="s">
        <v>220</v>
      </c>
      <c r="M119" s="164" t="s">
        <v>223</v>
      </c>
      <c r="N119" s="164" t="s">
        <v>93</v>
      </c>
      <c r="O119" s="164">
        <v>588</v>
      </c>
      <c r="P119" s="164">
        <v>0</v>
      </c>
      <c r="Q119" s="164">
        <v>0</v>
      </c>
      <c r="R119" s="164">
        <v>0</v>
      </c>
      <c r="S119" s="164">
        <v>0</v>
      </c>
      <c r="T119" s="164">
        <v>0</v>
      </c>
      <c r="U119" s="164">
        <v>0</v>
      </c>
      <c r="V119" s="164">
        <v>29.4</v>
      </c>
      <c r="W119" s="164">
        <v>617.4</v>
      </c>
      <c r="X119" s="164">
        <v>588</v>
      </c>
      <c r="Y119" s="164">
        <v>22</v>
      </c>
      <c r="Z119" s="164">
        <v>129.36000000000001</v>
      </c>
      <c r="AA119" s="164">
        <v>11.36</v>
      </c>
      <c r="AB119" s="164">
        <v>140.72</v>
      </c>
      <c r="AC119" s="164">
        <v>25.32</v>
      </c>
      <c r="AD119" s="164">
        <v>0</v>
      </c>
      <c r="AE119" s="164">
        <v>588</v>
      </c>
      <c r="AF119" s="164">
        <v>0</v>
      </c>
      <c r="AG119" s="164">
        <v>0</v>
      </c>
      <c r="AH119" s="164">
        <v>0.59</v>
      </c>
      <c r="AI119" s="164">
        <v>29.4</v>
      </c>
      <c r="AJ119" s="164">
        <v>0</v>
      </c>
      <c r="AK119" s="164">
        <v>55.31</v>
      </c>
      <c r="AL119" s="164">
        <v>0</v>
      </c>
      <c r="AM119" s="164">
        <v>0</v>
      </c>
      <c r="AN119" s="164">
        <v>0</v>
      </c>
      <c r="AO119" s="164">
        <v>0</v>
      </c>
      <c r="AP119" s="164">
        <v>0</v>
      </c>
      <c r="AQ119" s="164">
        <v>0</v>
      </c>
      <c r="AR119" s="164">
        <v>0</v>
      </c>
      <c r="AS119" s="164">
        <v>0</v>
      </c>
      <c r="AT119" s="164">
        <v>0</v>
      </c>
      <c r="AU119" s="164">
        <v>196.03</v>
      </c>
      <c r="AV119" s="164">
        <v>0</v>
      </c>
      <c r="AW119" s="164">
        <v>421.37</v>
      </c>
      <c r="AX119" s="164" t="s">
        <v>224</v>
      </c>
      <c r="AY119" s="164" t="s">
        <v>581</v>
      </c>
      <c r="AZ119" s="164" t="s">
        <v>582</v>
      </c>
      <c r="BA119" s="164">
        <v>0</v>
      </c>
      <c r="BB119" s="164" t="s">
        <v>230</v>
      </c>
    </row>
    <row r="120" spans="1:54">
      <c r="A120" s="164" t="s">
        <v>656</v>
      </c>
      <c r="B120" s="164" t="s">
        <v>657</v>
      </c>
      <c r="C120" s="164" t="s">
        <v>658</v>
      </c>
      <c r="D120" s="164" t="s">
        <v>49</v>
      </c>
      <c r="E120" s="164" t="s">
        <v>218</v>
      </c>
      <c r="F120" s="164" t="s">
        <v>219</v>
      </c>
      <c r="G120" s="164" t="s">
        <v>220</v>
      </c>
      <c r="H120" s="164" t="s">
        <v>221</v>
      </c>
      <c r="I120" s="164" t="s">
        <v>222</v>
      </c>
      <c r="J120" s="164" t="s">
        <v>220</v>
      </c>
      <c r="K120" s="164" t="s">
        <v>220</v>
      </c>
      <c r="L120" s="164" t="s">
        <v>220</v>
      </c>
      <c r="M120" s="164" t="s">
        <v>223</v>
      </c>
      <c r="N120" s="164" t="s">
        <v>93</v>
      </c>
      <c r="O120" s="164">
        <v>460</v>
      </c>
      <c r="P120" s="164">
        <v>0</v>
      </c>
      <c r="Q120" s="164">
        <v>0</v>
      </c>
      <c r="R120" s="164">
        <v>0</v>
      </c>
      <c r="S120" s="164">
        <v>0</v>
      </c>
      <c r="T120" s="164">
        <v>0</v>
      </c>
      <c r="U120" s="164">
        <v>0</v>
      </c>
      <c r="V120" s="164">
        <v>23</v>
      </c>
      <c r="W120" s="164">
        <v>483</v>
      </c>
      <c r="X120" s="164">
        <v>460</v>
      </c>
      <c r="Y120" s="164">
        <v>22</v>
      </c>
      <c r="Z120" s="164">
        <v>101.2</v>
      </c>
      <c r="AA120" s="164">
        <v>8.89</v>
      </c>
      <c r="AB120" s="164">
        <v>110.09</v>
      </c>
      <c r="AC120" s="164">
        <v>19.82</v>
      </c>
      <c r="AD120" s="164">
        <v>0</v>
      </c>
      <c r="AE120" s="164">
        <v>460</v>
      </c>
      <c r="AF120" s="164">
        <v>0</v>
      </c>
      <c r="AG120" s="164">
        <v>0</v>
      </c>
      <c r="AH120" s="164">
        <v>0.46</v>
      </c>
      <c r="AI120" s="164">
        <v>23</v>
      </c>
      <c r="AJ120" s="164">
        <v>0</v>
      </c>
      <c r="AK120" s="164">
        <v>43.28</v>
      </c>
      <c r="AL120" s="164">
        <v>0</v>
      </c>
      <c r="AM120" s="164">
        <v>0</v>
      </c>
      <c r="AN120" s="164">
        <v>0</v>
      </c>
      <c r="AO120" s="164">
        <v>0</v>
      </c>
      <c r="AP120" s="164">
        <v>0</v>
      </c>
      <c r="AQ120" s="164">
        <v>0</v>
      </c>
      <c r="AR120" s="164">
        <v>0</v>
      </c>
      <c r="AS120" s="164">
        <v>0</v>
      </c>
      <c r="AT120" s="164">
        <v>0</v>
      </c>
      <c r="AU120" s="164">
        <v>153.37</v>
      </c>
      <c r="AV120" s="164">
        <v>0</v>
      </c>
      <c r="AW120" s="164">
        <v>329.63</v>
      </c>
      <c r="AX120" s="164" t="s">
        <v>224</v>
      </c>
      <c r="AY120" s="164" t="s">
        <v>581</v>
      </c>
      <c r="AZ120" s="164" t="s">
        <v>582</v>
      </c>
      <c r="BA120" s="164">
        <v>0</v>
      </c>
      <c r="BB120" s="164" t="s">
        <v>659</v>
      </c>
    </row>
    <row r="121" spans="1:54">
      <c r="A121" s="164" t="s">
        <v>660</v>
      </c>
      <c r="B121" s="164" t="s">
        <v>661</v>
      </c>
      <c r="C121" s="164" t="s">
        <v>662</v>
      </c>
      <c r="D121" s="164" t="s">
        <v>49</v>
      </c>
      <c r="E121" s="164" t="s">
        <v>218</v>
      </c>
      <c r="F121" s="164" t="s">
        <v>219</v>
      </c>
      <c r="G121" s="164" t="s">
        <v>220</v>
      </c>
      <c r="H121" s="164" t="s">
        <v>221</v>
      </c>
      <c r="I121" s="164" t="s">
        <v>222</v>
      </c>
      <c r="J121" s="164" t="s">
        <v>220</v>
      </c>
      <c r="K121" s="164" t="s">
        <v>220</v>
      </c>
      <c r="L121" s="164" t="s">
        <v>220</v>
      </c>
      <c r="M121" s="164" t="s">
        <v>223</v>
      </c>
      <c r="N121" s="164" t="s">
        <v>93</v>
      </c>
      <c r="O121" s="164">
        <v>361</v>
      </c>
      <c r="P121" s="164">
        <v>0</v>
      </c>
      <c r="Q121" s="164">
        <v>0</v>
      </c>
      <c r="R121" s="164">
        <v>0</v>
      </c>
      <c r="S121" s="164">
        <v>0</v>
      </c>
      <c r="T121" s="164">
        <v>0</v>
      </c>
      <c r="U121" s="164">
        <v>0</v>
      </c>
      <c r="V121" s="164">
        <v>18.05</v>
      </c>
      <c r="W121" s="164">
        <v>379.05</v>
      </c>
      <c r="X121" s="164">
        <v>361</v>
      </c>
      <c r="Y121" s="164">
        <v>22</v>
      </c>
      <c r="Z121" s="164">
        <v>79.42</v>
      </c>
      <c r="AA121" s="164">
        <v>6.97</v>
      </c>
      <c r="AB121" s="164">
        <v>86.39</v>
      </c>
      <c r="AC121" s="164">
        <v>15.55</v>
      </c>
      <c r="AD121" s="164">
        <v>0</v>
      </c>
      <c r="AE121" s="164">
        <v>361</v>
      </c>
      <c r="AF121" s="164">
        <v>0</v>
      </c>
      <c r="AG121" s="164">
        <v>0</v>
      </c>
      <c r="AH121" s="164">
        <v>0.36</v>
      </c>
      <c r="AI121" s="164">
        <v>18.05</v>
      </c>
      <c r="AJ121" s="164">
        <v>0</v>
      </c>
      <c r="AK121" s="164">
        <v>33.96</v>
      </c>
      <c r="AL121" s="164">
        <v>0</v>
      </c>
      <c r="AM121" s="164">
        <v>0</v>
      </c>
      <c r="AN121" s="164">
        <v>0</v>
      </c>
      <c r="AO121" s="164">
        <v>0</v>
      </c>
      <c r="AP121" s="164">
        <v>0</v>
      </c>
      <c r="AQ121" s="164">
        <v>0</v>
      </c>
      <c r="AR121" s="164">
        <v>0</v>
      </c>
      <c r="AS121" s="164">
        <v>0</v>
      </c>
      <c r="AT121" s="164">
        <v>0</v>
      </c>
      <c r="AU121" s="164">
        <v>120.35</v>
      </c>
      <c r="AV121" s="164">
        <v>0</v>
      </c>
      <c r="AW121" s="164">
        <v>258.7</v>
      </c>
      <c r="AX121" s="164" t="s">
        <v>224</v>
      </c>
      <c r="AY121" s="164" t="s">
        <v>581</v>
      </c>
      <c r="AZ121" s="164" t="s">
        <v>582</v>
      </c>
      <c r="BA121" s="164">
        <v>0</v>
      </c>
      <c r="BB121" s="164" t="s">
        <v>469</v>
      </c>
    </row>
    <row r="122" spans="1:54">
      <c r="A122" s="164" t="s">
        <v>663</v>
      </c>
      <c r="B122" s="164" t="s">
        <v>664</v>
      </c>
      <c r="C122" s="164" t="s">
        <v>665</v>
      </c>
      <c r="D122" s="164" t="s">
        <v>49</v>
      </c>
      <c r="E122" s="164" t="s">
        <v>218</v>
      </c>
      <c r="F122" s="164" t="s">
        <v>219</v>
      </c>
      <c r="G122" s="164" t="s">
        <v>220</v>
      </c>
      <c r="H122" s="164" t="s">
        <v>221</v>
      </c>
      <c r="I122" s="164" t="s">
        <v>222</v>
      </c>
      <c r="J122" s="164" t="s">
        <v>220</v>
      </c>
      <c r="K122" s="164" t="s">
        <v>220</v>
      </c>
      <c r="L122" s="164" t="s">
        <v>220</v>
      </c>
      <c r="M122" s="164" t="s">
        <v>223</v>
      </c>
      <c r="N122" s="164" t="s">
        <v>93</v>
      </c>
      <c r="O122" s="164">
        <v>1683</v>
      </c>
      <c r="P122" s="164">
        <v>0</v>
      </c>
      <c r="Q122" s="164">
        <v>0</v>
      </c>
      <c r="R122" s="164">
        <v>0</v>
      </c>
      <c r="S122" s="164">
        <v>0</v>
      </c>
      <c r="T122" s="164">
        <v>0</v>
      </c>
      <c r="U122" s="164">
        <v>0</v>
      </c>
      <c r="V122" s="164">
        <v>84.15</v>
      </c>
      <c r="W122" s="164">
        <v>1767.15</v>
      </c>
      <c r="X122" s="164">
        <v>1683</v>
      </c>
      <c r="Y122" s="164">
        <v>22</v>
      </c>
      <c r="Z122" s="164">
        <v>370.26</v>
      </c>
      <c r="AA122" s="164">
        <v>32.520000000000003</v>
      </c>
      <c r="AB122" s="164">
        <v>402.78</v>
      </c>
      <c r="AC122" s="164">
        <v>72.5</v>
      </c>
      <c r="AD122" s="164">
        <v>0</v>
      </c>
      <c r="AE122" s="164">
        <v>1683</v>
      </c>
      <c r="AF122" s="164">
        <v>0</v>
      </c>
      <c r="AG122" s="164">
        <v>0</v>
      </c>
      <c r="AH122" s="164">
        <v>1.68</v>
      </c>
      <c r="AI122" s="164">
        <v>84.15</v>
      </c>
      <c r="AJ122" s="164">
        <v>0</v>
      </c>
      <c r="AK122" s="164">
        <v>158.33000000000001</v>
      </c>
      <c r="AL122" s="164">
        <v>0</v>
      </c>
      <c r="AM122" s="164">
        <v>0</v>
      </c>
      <c r="AN122" s="164">
        <v>0</v>
      </c>
      <c r="AO122" s="164">
        <v>0</v>
      </c>
      <c r="AP122" s="164">
        <v>0</v>
      </c>
      <c r="AQ122" s="164">
        <v>0</v>
      </c>
      <c r="AR122" s="164">
        <v>0</v>
      </c>
      <c r="AS122" s="164">
        <v>0</v>
      </c>
      <c r="AT122" s="164">
        <v>0</v>
      </c>
      <c r="AU122" s="164">
        <v>561.11</v>
      </c>
      <c r="AV122" s="164">
        <v>0</v>
      </c>
      <c r="AW122" s="164">
        <v>1206.04</v>
      </c>
      <c r="AX122" s="164" t="s">
        <v>224</v>
      </c>
      <c r="AY122" s="164" t="s">
        <v>581</v>
      </c>
      <c r="AZ122" s="164" t="s">
        <v>582</v>
      </c>
      <c r="BA122" s="164">
        <v>0</v>
      </c>
      <c r="BB122" s="164" t="s">
        <v>666</v>
      </c>
    </row>
    <row r="123" spans="1:54">
      <c r="A123" s="164" t="s">
        <v>667</v>
      </c>
      <c r="B123" s="164" t="s">
        <v>668</v>
      </c>
      <c r="C123" s="164" t="s">
        <v>669</v>
      </c>
      <c r="D123" s="164" t="s">
        <v>49</v>
      </c>
      <c r="E123" s="164" t="s">
        <v>218</v>
      </c>
      <c r="F123" s="164" t="s">
        <v>219</v>
      </c>
      <c r="G123" s="164" t="s">
        <v>220</v>
      </c>
      <c r="H123" s="164" t="s">
        <v>221</v>
      </c>
      <c r="I123" s="164" t="s">
        <v>222</v>
      </c>
      <c r="J123" s="164" t="s">
        <v>220</v>
      </c>
      <c r="K123" s="164" t="s">
        <v>220</v>
      </c>
      <c r="L123" s="164" t="s">
        <v>220</v>
      </c>
      <c r="M123" s="164" t="s">
        <v>223</v>
      </c>
      <c r="N123" s="164" t="s">
        <v>93</v>
      </c>
      <c r="O123" s="164">
        <v>447</v>
      </c>
      <c r="P123" s="164">
        <v>0</v>
      </c>
      <c r="Q123" s="164">
        <v>0</v>
      </c>
      <c r="R123" s="164">
        <v>0</v>
      </c>
      <c r="S123" s="164">
        <v>0</v>
      </c>
      <c r="T123" s="164">
        <v>0</v>
      </c>
      <c r="U123" s="164">
        <v>0</v>
      </c>
      <c r="V123" s="164">
        <v>22.35</v>
      </c>
      <c r="W123" s="164">
        <v>469.35</v>
      </c>
      <c r="X123" s="164">
        <v>447</v>
      </c>
      <c r="Y123" s="164">
        <v>22</v>
      </c>
      <c r="Z123" s="164">
        <v>98.34</v>
      </c>
      <c r="AA123" s="164">
        <v>8.64</v>
      </c>
      <c r="AB123" s="164">
        <v>106.98</v>
      </c>
      <c r="AC123" s="164">
        <v>19.260000000000002</v>
      </c>
      <c r="AD123" s="164">
        <v>0</v>
      </c>
      <c r="AE123" s="164">
        <v>447</v>
      </c>
      <c r="AF123" s="164">
        <v>0</v>
      </c>
      <c r="AG123" s="164">
        <v>0</v>
      </c>
      <c r="AH123" s="164">
        <v>0.45</v>
      </c>
      <c r="AI123" s="164">
        <v>22.35</v>
      </c>
      <c r="AJ123" s="164">
        <v>0</v>
      </c>
      <c r="AK123" s="164">
        <v>42.06</v>
      </c>
      <c r="AL123" s="164">
        <v>0</v>
      </c>
      <c r="AM123" s="164">
        <v>0</v>
      </c>
      <c r="AN123" s="164">
        <v>0</v>
      </c>
      <c r="AO123" s="164">
        <v>0</v>
      </c>
      <c r="AP123" s="164">
        <v>0</v>
      </c>
      <c r="AQ123" s="164">
        <v>0</v>
      </c>
      <c r="AR123" s="164">
        <v>0</v>
      </c>
      <c r="AS123" s="164">
        <v>0</v>
      </c>
      <c r="AT123" s="164">
        <v>0</v>
      </c>
      <c r="AU123" s="164">
        <v>149.04</v>
      </c>
      <c r="AV123" s="164">
        <v>0</v>
      </c>
      <c r="AW123" s="164">
        <v>320.31</v>
      </c>
      <c r="AX123" s="164" t="s">
        <v>224</v>
      </c>
      <c r="AY123" s="164" t="s">
        <v>581</v>
      </c>
      <c r="AZ123" s="164" t="s">
        <v>582</v>
      </c>
      <c r="BA123" s="164">
        <v>0</v>
      </c>
      <c r="BB123" s="164" t="s">
        <v>670</v>
      </c>
    </row>
    <row r="124" spans="1:54">
      <c r="A124" s="164" t="s">
        <v>671</v>
      </c>
      <c r="B124" s="164" t="s">
        <v>672</v>
      </c>
      <c r="C124" s="164" t="s">
        <v>673</v>
      </c>
      <c r="D124" s="164" t="s">
        <v>49</v>
      </c>
      <c r="E124" s="164" t="s">
        <v>218</v>
      </c>
      <c r="F124" s="164" t="s">
        <v>219</v>
      </c>
      <c r="G124" s="164" t="s">
        <v>220</v>
      </c>
      <c r="H124" s="164" t="s">
        <v>221</v>
      </c>
      <c r="I124" s="164" t="s">
        <v>222</v>
      </c>
      <c r="J124" s="164" t="s">
        <v>220</v>
      </c>
      <c r="K124" s="164" t="s">
        <v>220</v>
      </c>
      <c r="L124" s="164" t="s">
        <v>220</v>
      </c>
      <c r="M124" s="164" t="s">
        <v>223</v>
      </c>
      <c r="N124" s="164" t="s">
        <v>93</v>
      </c>
      <c r="O124" s="164">
        <v>360</v>
      </c>
      <c r="P124" s="164">
        <v>0</v>
      </c>
      <c r="Q124" s="164">
        <v>0</v>
      </c>
      <c r="R124" s="164">
        <v>0</v>
      </c>
      <c r="S124" s="164">
        <v>0</v>
      </c>
      <c r="T124" s="164">
        <v>0</v>
      </c>
      <c r="U124" s="164">
        <v>0</v>
      </c>
      <c r="V124" s="164">
        <v>18</v>
      </c>
      <c r="W124" s="164">
        <v>378</v>
      </c>
      <c r="X124" s="164">
        <v>360</v>
      </c>
      <c r="Y124" s="164">
        <v>22</v>
      </c>
      <c r="Z124" s="164">
        <v>79.2</v>
      </c>
      <c r="AA124" s="164">
        <v>6.96</v>
      </c>
      <c r="AB124" s="164">
        <v>86.16</v>
      </c>
      <c r="AC124" s="164">
        <v>15.51</v>
      </c>
      <c r="AD124" s="164">
        <v>0</v>
      </c>
      <c r="AE124" s="164">
        <v>360</v>
      </c>
      <c r="AF124" s="164">
        <v>0</v>
      </c>
      <c r="AG124" s="164">
        <v>0</v>
      </c>
      <c r="AH124" s="164">
        <v>0.36</v>
      </c>
      <c r="AI124" s="164">
        <v>18</v>
      </c>
      <c r="AJ124" s="164">
        <v>0</v>
      </c>
      <c r="AK124" s="164">
        <v>33.869999999999997</v>
      </c>
      <c r="AL124" s="164">
        <v>0</v>
      </c>
      <c r="AM124" s="164">
        <v>0</v>
      </c>
      <c r="AN124" s="164">
        <v>0</v>
      </c>
      <c r="AO124" s="164">
        <v>0</v>
      </c>
      <c r="AP124" s="164">
        <v>0</v>
      </c>
      <c r="AQ124" s="164">
        <v>0</v>
      </c>
      <c r="AR124" s="164">
        <v>0</v>
      </c>
      <c r="AS124" s="164">
        <v>0</v>
      </c>
      <c r="AT124" s="164">
        <v>0</v>
      </c>
      <c r="AU124" s="164">
        <v>120.03</v>
      </c>
      <c r="AV124" s="164">
        <v>0</v>
      </c>
      <c r="AW124" s="164">
        <v>257.97000000000003</v>
      </c>
      <c r="AX124" s="164" t="s">
        <v>224</v>
      </c>
      <c r="AY124" s="164" t="s">
        <v>581</v>
      </c>
      <c r="AZ124" s="164" t="s">
        <v>582</v>
      </c>
      <c r="BA124" s="164">
        <v>0</v>
      </c>
      <c r="BB124" s="164" t="s">
        <v>255</v>
      </c>
    </row>
    <row r="125" spans="1:54">
      <c r="A125" s="164" t="s">
        <v>674</v>
      </c>
      <c r="B125" s="164" t="s">
        <v>675</v>
      </c>
      <c r="C125" s="164" t="s">
        <v>676</v>
      </c>
      <c r="D125" s="164" t="s">
        <v>49</v>
      </c>
      <c r="E125" s="164" t="s">
        <v>218</v>
      </c>
      <c r="F125" s="164" t="s">
        <v>219</v>
      </c>
      <c r="G125" s="164" t="s">
        <v>220</v>
      </c>
      <c r="H125" s="164" t="s">
        <v>221</v>
      </c>
      <c r="I125" s="164" t="s">
        <v>222</v>
      </c>
      <c r="J125" s="164" t="s">
        <v>220</v>
      </c>
      <c r="K125" s="164" t="s">
        <v>220</v>
      </c>
      <c r="L125" s="164" t="s">
        <v>220</v>
      </c>
      <c r="M125" s="164" t="s">
        <v>223</v>
      </c>
      <c r="N125" s="164" t="s">
        <v>93</v>
      </c>
      <c r="O125" s="164">
        <v>2151</v>
      </c>
      <c r="P125" s="164">
        <v>0</v>
      </c>
      <c r="Q125" s="164">
        <v>0</v>
      </c>
      <c r="R125" s="164">
        <v>0</v>
      </c>
      <c r="S125" s="164">
        <v>0</v>
      </c>
      <c r="T125" s="164">
        <v>0</v>
      </c>
      <c r="U125" s="164">
        <v>0</v>
      </c>
      <c r="V125" s="164">
        <v>107.55</v>
      </c>
      <c r="W125" s="164">
        <v>2258.5500000000002</v>
      </c>
      <c r="X125" s="164">
        <v>2151</v>
      </c>
      <c r="Y125" s="164">
        <v>22</v>
      </c>
      <c r="Z125" s="164">
        <v>473.22</v>
      </c>
      <c r="AA125" s="164">
        <v>41.56</v>
      </c>
      <c r="AB125" s="164">
        <v>514.78</v>
      </c>
      <c r="AC125" s="164">
        <v>92.66</v>
      </c>
      <c r="AD125" s="164">
        <v>0</v>
      </c>
      <c r="AE125" s="164">
        <v>2151</v>
      </c>
      <c r="AF125" s="164">
        <v>0</v>
      </c>
      <c r="AG125" s="164">
        <v>0</v>
      </c>
      <c r="AH125" s="164">
        <v>2.15</v>
      </c>
      <c r="AI125" s="164">
        <v>107.55</v>
      </c>
      <c r="AJ125" s="164">
        <v>0</v>
      </c>
      <c r="AK125" s="164">
        <v>202.36</v>
      </c>
      <c r="AL125" s="164">
        <v>0</v>
      </c>
      <c r="AM125" s="164">
        <v>0</v>
      </c>
      <c r="AN125" s="164">
        <v>0</v>
      </c>
      <c r="AO125" s="164">
        <v>0</v>
      </c>
      <c r="AP125" s="164">
        <v>0</v>
      </c>
      <c r="AQ125" s="164">
        <v>0</v>
      </c>
      <c r="AR125" s="164">
        <v>0</v>
      </c>
      <c r="AS125" s="164">
        <v>0</v>
      </c>
      <c r="AT125" s="164">
        <v>0</v>
      </c>
      <c r="AU125" s="164">
        <v>717.14</v>
      </c>
      <c r="AV125" s="164">
        <v>0</v>
      </c>
      <c r="AW125" s="164">
        <v>1541.41</v>
      </c>
      <c r="AX125" s="164" t="s">
        <v>224</v>
      </c>
      <c r="AY125" s="164" t="s">
        <v>581</v>
      </c>
      <c r="AZ125" s="164" t="s">
        <v>582</v>
      </c>
      <c r="BA125" s="164">
        <v>0</v>
      </c>
      <c r="BB125" s="164" t="s">
        <v>677</v>
      </c>
    </row>
    <row r="126" spans="1:54">
      <c r="A126" s="164" t="s">
        <v>678</v>
      </c>
      <c r="B126" s="164" t="s">
        <v>679</v>
      </c>
      <c r="C126" s="164" t="s">
        <v>680</v>
      </c>
      <c r="D126" s="164" t="s">
        <v>49</v>
      </c>
      <c r="E126" s="164" t="s">
        <v>218</v>
      </c>
      <c r="F126" s="164" t="s">
        <v>219</v>
      </c>
      <c r="G126" s="164" t="s">
        <v>220</v>
      </c>
      <c r="H126" s="164" t="s">
        <v>221</v>
      </c>
      <c r="I126" s="164" t="s">
        <v>222</v>
      </c>
      <c r="J126" s="164" t="s">
        <v>220</v>
      </c>
      <c r="K126" s="164" t="s">
        <v>220</v>
      </c>
      <c r="L126" s="164" t="s">
        <v>220</v>
      </c>
      <c r="M126" s="164" t="s">
        <v>223</v>
      </c>
      <c r="N126" s="164" t="s">
        <v>93</v>
      </c>
      <c r="O126" s="164">
        <v>524</v>
      </c>
      <c r="P126" s="164">
        <v>0</v>
      </c>
      <c r="Q126" s="164">
        <v>0</v>
      </c>
      <c r="R126" s="164">
        <v>0</v>
      </c>
      <c r="S126" s="164">
        <v>0</v>
      </c>
      <c r="T126" s="164">
        <v>0</v>
      </c>
      <c r="U126" s="164">
        <v>0</v>
      </c>
      <c r="V126" s="164">
        <v>26.2</v>
      </c>
      <c r="W126" s="164">
        <v>550.20000000000005</v>
      </c>
      <c r="X126" s="164">
        <v>524</v>
      </c>
      <c r="Y126" s="164">
        <v>22</v>
      </c>
      <c r="Z126" s="164">
        <v>115.28</v>
      </c>
      <c r="AA126" s="164">
        <v>10.119999999999999</v>
      </c>
      <c r="AB126" s="164">
        <v>125.4</v>
      </c>
      <c r="AC126" s="164">
        <v>22.57</v>
      </c>
      <c r="AD126" s="164">
        <v>0</v>
      </c>
      <c r="AE126" s="164">
        <v>524</v>
      </c>
      <c r="AF126" s="164">
        <v>0</v>
      </c>
      <c r="AG126" s="164">
        <v>0</v>
      </c>
      <c r="AH126" s="164">
        <v>0.52</v>
      </c>
      <c r="AI126" s="164">
        <v>26.2</v>
      </c>
      <c r="AJ126" s="164">
        <v>0</v>
      </c>
      <c r="AK126" s="164">
        <v>49.29</v>
      </c>
      <c r="AL126" s="164">
        <v>0</v>
      </c>
      <c r="AM126" s="164">
        <v>0</v>
      </c>
      <c r="AN126" s="164">
        <v>0</v>
      </c>
      <c r="AO126" s="164">
        <v>0</v>
      </c>
      <c r="AP126" s="164">
        <v>0</v>
      </c>
      <c r="AQ126" s="164">
        <v>0</v>
      </c>
      <c r="AR126" s="164">
        <v>0</v>
      </c>
      <c r="AS126" s="164">
        <v>0</v>
      </c>
      <c r="AT126" s="164">
        <v>0</v>
      </c>
      <c r="AU126" s="164">
        <v>174.69</v>
      </c>
      <c r="AV126" s="164">
        <v>0</v>
      </c>
      <c r="AW126" s="164">
        <v>375.51</v>
      </c>
      <c r="AX126" s="164" t="s">
        <v>224</v>
      </c>
      <c r="AY126" s="164" t="s">
        <v>581</v>
      </c>
      <c r="AZ126" s="164" t="s">
        <v>582</v>
      </c>
      <c r="BA126" s="164">
        <v>0</v>
      </c>
      <c r="BB126" s="164" t="s">
        <v>670</v>
      </c>
    </row>
    <row r="127" spans="1:54">
      <c r="A127" s="164" t="s">
        <v>681</v>
      </c>
      <c r="B127" s="164" t="s">
        <v>682</v>
      </c>
      <c r="C127" s="164" t="s">
        <v>683</v>
      </c>
      <c r="D127" s="164" t="s">
        <v>49</v>
      </c>
      <c r="E127" s="164" t="s">
        <v>218</v>
      </c>
      <c r="F127" s="164" t="s">
        <v>219</v>
      </c>
      <c r="G127" s="164" t="s">
        <v>220</v>
      </c>
      <c r="H127" s="164" t="s">
        <v>221</v>
      </c>
      <c r="I127" s="164" t="s">
        <v>222</v>
      </c>
      <c r="J127" s="164" t="s">
        <v>220</v>
      </c>
      <c r="K127" s="164" t="s">
        <v>220</v>
      </c>
      <c r="L127" s="164" t="s">
        <v>220</v>
      </c>
      <c r="M127" s="164" t="s">
        <v>223</v>
      </c>
      <c r="N127" s="164" t="s">
        <v>93</v>
      </c>
      <c r="O127" s="164">
        <v>599</v>
      </c>
      <c r="P127" s="164">
        <v>0</v>
      </c>
      <c r="Q127" s="164">
        <v>0</v>
      </c>
      <c r="R127" s="164">
        <v>0</v>
      </c>
      <c r="S127" s="164">
        <v>0</v>
      </c>
      <c r="T127" s="164">
        <v>0</v>
      </c>
      <c r="U127" s="164">
        <v>0</v>
      </c>
      <c r="V127" s="164">
        <v>29.95</v>
      </c>
      <c r="W127" s="164">
        <v>628.95000000000005</v>
      </c>
      <c r="X127" s="164">
        <v>599</v>
      </c>
      <c r="Y127" s="164">
        <v>22</v>
      </c>
      <c r="Z127" s="164">
        <v>131.78</v>
      </c>
      <c r="AA127" s="164">
        <v>11.57</v>
      </c>
      <c r="AB127" s="164">
        <v>143.35</v>
      </c>
      <c r="AC127" s="164">
        <v>25.8</v>
      </c>
      <c r="AD127" s="164">
        <v>0</v>
      </c>
      <c r="AE127" s="164">
        <v>599</v>
      </c>
      <c r="AF127" s="164">
        <v>0</v>
      </c>
      <c r="AG127" s="164">
        <v>0</v>
      </c>
      <c r="AH127" s="164">
        <v>0.6</v>
      </c>
      <c r="AI127" s="164">
        <v>29.95</v>
      </c>
      <c r="AJ127" s="164">
        <v>0</v>
      </c>
      <c r="AK127" s="164">
        <v>56.35</v>
      </c>
      <c r="AL127" s="164">
        <v>0</v>
      </c>
      <c r="AM127" s="164">
        <v>0</v>
      </c>
      <c r="AN127" s="164">
        <v>0</v>
      </c>
      <c r="AO127" s="164">
        <v>0</v>
      </c>
      <c r="AP127" s="164">
        <v>0</v>
      </c>
      <c r="AQ127" s="164">
        <v>0</v>
      </c>
      <c r="AR127" s="164">
        <v>0</v>
      </c>
      <c r="AS127" s="164">
        <v>0</v>
      </c>
      <c r="AT127" s="164">
        <v>0</v>
      </c>
      <c r="AU127" s="164">
        <v>199.7</v>
      </c>
      <c r="AV127" s="164">
        <v>0</v>
      </c>
      <c r="AW127" s="164">
        <v>429.25</v>
      </c>
      <c r="AX127" s="164" t="s">
        <v>224</v>
      </c>
      <c r="AY127" s="164" t="s">
        <v>581</v>
      </c>
      <c r="AZ127" s="164" t="s">
        <v>582</v>
      </c>
      <c r="BA127" s="164">
        <v>0</v>
      </c>
      <c r="BB127" s="164" t="s">
        <v>684</v>
      </c>
    </row>
    <row r="128" spans="1:54">
      <c r="A128" s="164" t="s">
        <v>685</v>
      </c>
      <c r="B128" s="164" t="s">
        <v>686</v>
      </c>
      <c r="C128" s="164" t="s">
        <v>687</v>
      </c>
      <c r="D128" s="164" t="s">
        <v>49</v>
      </c>
      <c r="E128" s="164" t="s">
        <v>218</v>
      </c>
      <c r="F128" s="164" t="s">
        <v>219</v>
      </c>
      <c r="G128" s="164" t="s">
        <v>220</v>
      </c>
      <c r="H128" s="164" t="s">
        <v>221</v>
      </c>
      <c r="I128" s="164" t="s">
        <v>222</v>
      </c>
      <c r="J128" s="164" t="s">
        <v>220</v>
      </c>
      <c r="K128" s="164" t="s">
        <v>220</v>
      </c>
      <c r="L128" s="164" t="s">
        <v>220</v>
      </c>
      <c r="M128" s="164" t="s">
        <v>223</v>
      </c>
      <c r="N128" s="164" t="s">
        <v>93</v>
      </c>
      <c r="O128" s="164">
        <v>294</v>
      </c>
      <c r="P128" s="164">
        <v>0</v>
      </c>
      <c r="Q128" s="164">
        <v>0</v>
      </c>
      <c r="R128" s="164">
        <v>0</v>
      </c>
      <c r="S128" s="164">
        <v>0</v>
      </c>
      <c r="T128" s="164">
        <v>0</v>
      </c>
      <c r="U128" s="164">
        <v>0</v>
      </c>
      <c r="V128" s="164">
        <v>14.7</v>
      </c>
      <c r="W128" s="164">
        <v>308.7</v>
      </c>
      <c r="X128" s="164">
        <v>294</v>
      </c>
      <c r="Y128" s="164">
        <v>22</v>
      </c>
      <c r="Z128" s="164">
        <v>64.680000000000007</v>
      </c>
      <c r="AA128" s="164">
        <v>5.68</v>
      </c>
      <c r="AB128" s="164">
        <v>70.36</v>
      </c>
      <c r="AC128" s="164">
        <v>12.66</v>
      </c>
      <c r="AD128" s="164">
        <v>0</v>
      </c>
      <c r="AE128" s="164">
        <v>294</v>
      </c>
      <c r="AF128" s="164">
        <v>0</v>
      </c>
      <c r="AG128" s="164">
        <v>0</v>
      </c>
      <c r="AH128" s="164">
        <v>0.28999999999999998</v>
      </c>
      <c r="AI128" s="164">
        <v>14.7</v>
      </c>
      <c r="AJ128" s="164">
        <v>0</v>
      </c>
      <c r="AK128" s="164">
        <v>27.65</v>
      </c>
      <c r="AL128" s="164">
        <v>0</v>
      </c>
      <c r="AM128" s="164">
        <v>0</v>
      </c>
      <c r="AN128" s="164">
        <v>0</v>
      </c>
      <c r="AO128" s="164">
        <v>0</v>
      </c>
      <c r="AP128" s="164">
        <v>0</v>
      </c>
      <c r="AQ128" s="164">
        <v>0</v>
      </c>
      <c r="AR128" s="164">
        <v>0</v>
      </c>
      <c r="AS128" s="164">
        <v>0</v>
      </c>
      <c r="AT128" s="164">
        <v>0</v>
      </c>
      <c r="AU128" s="164">
        <v>98.01</v>
      </c>
      <c r="AV128" s="164">
        <v>0</v>
      </c>
      <c r="AW128" s="164">
        <v>210.69</v>
      </c>
      <c r="AX128" s="164" t="s">
        <v>224</v>
      </c>
      <c r="AY128" s="164" t="s">
        <v>581</v>
      </c>
      <c r="AZ128" s="164" t="s">
        <v>582</v>
      </c>
      <c r="BA128" s="164">
        <v>0</v>
      </c>
      <c r="BB128" s="164" t="s">
        <v>688</v>
      </c>
    </row>
    <row r="129" spans="1:54">
      <c r="A129" s="164" t="s">
        <v>689</v>
      </c>
      <c r="B129" s="164" t="s">
        <v>690</v>
      </c>
      <c r="C129" s="164" t="s">
        <v>691</v>
      </c>
      <c r="D129" s="164" t="s">
        <v>49</v>
      </c>
      <c r="E129" s="164" t="s">
        <v>218</v>
      </c>
      <c r="F129" s="164" t="s">
        <v>219</v>
      </c>
      <c r="G129" s="164" t="s">
        <v>220</v>
      </c>
      <c r="H129" s="164" t="s">
        <v>221</v>
      </c>
      <c r="I129" s="164" t="s">
        <v>222</v>
      </c>
      <c r="J129" s="164" t="s">
        <v>220</v>
      </c>
      <c r="K129" s="164" t="s">
        <v>220</v>
      </c>
      <c r="L129" s="164" t="s">
        <v>220</v>
      </c>
      <c r="M129" s="164" t="s">
        <v>223</v>
      </c>
      <c r="N129" s="164" t="s">
        <v>93</v>
      </c>
      <c r="O129" s="164">
        <v>284</v>
      </c>
      <c r="P129" s="164">
        <v>0</v>
      </c>
      <c r="Q129" s="164">
        <v>0</v>
      </c>
      <c r="R129" s="164">
        <v>0</v>
      </c>
      <c r="S129" s="164">
        <v>0</v>
      </c>
      <c r="T129" s="164">
        <v>0</v>
      </c>
      <c r="U129" s="164">
        <v>0</v>
      </c>
      <c r="V129" s="164">
        <v>14.2</v>
      </c>
      <c r="W129" s="164">
        <v>298.2</v>
      </c>
      <c r="X129" s="164">
        <v>284</v>
      </c>
      <c r="Y129" s="164">
        <v>22</v>
      </c>
      <c r="Z129" s="164">
        <v>62.48</v>
      </c>
      <c r="AA129" s="164">
        <v>5.49</v>
      </c>
      <c r="AB129" s="164">
        <v>67.97</v>
      </c>
      <c r="AC129" s="164">
        <v>12.24</v>
      </c>
      <c r="AD129" s="164">
        <v>0</v>
      </c>
      <c r="AE129" s="164">
        <v>284</v>
      </c>
      <c r="AF129" s="164">
        <v>0</v>
      </c>
      <c r="AG129" s="164">
        <v>0</v>
      </c>
      <c r="AH129" s="164">
        <v>0.28000000000000003</v>
      </c>
      <c r="AI129" s="164">
        <v>14.2</v>
      </c>
      <c r="AJ129" s="164">
        <v>0</v>
      </c>
      <c r="AK129" s="164">
        <v>26.72</v>
      </c>
      <c r="AL129" s="164">
        <v>0</v>
      </c>
      <c r="AM129" s="164">
        <v>0</v>
      </c>
      <c r="AN129" s="164">
        <v>0</v>
      </c>
      <c r="AO129" s="164">
        <v>0</v>
      </c>
      <c r="AP129" s="164">
        <v>0</v>
      </c>
      <c r="AQ129" s="164">
        <v>0</v>
      </c>
      <c r="AR129" s="164">
        <v>0</v>
      </c>
      <c r="AS129" s="164">
        <v>0</v>
      </c>
      <c r="AT129" s="164">
        <v>0</v>
      </c>
      <c r="AU129" s="164">
        <v>94.69</v>
      </c>
      <c r="AV129" s="164">
        <v>0</v>
      </c>
      <c r="AW129" s="164">
        <v>203.51</v>
      </c>
      <c r="AX129" s="164" t="s">
        <v>224</v>
      </c>
      <c r="AY129" s="164" t="s">
        <v>581</v>
      </c>
      <c r="AZ129" s="164" t="s">
        <v>582</v>
      </c>
      <c r="BA129" s="164">
        <v>0</v>
      </c>
      <c r="BB129" s="164" t="s">
        <v>692</v>
      </c>
    </row>
    <row r="130" spans="1:54">
      <c r="A130" s="164" t="s">
        <v>693</v>
      </c>
      <c r="B130" s="164" t="s">
        <v>694</v>
      </c>
      <c r="C130" s="164" t="s">
        <v>695</v>
      </c>
      <c r="D130" s="164" t="s">
        <v>49</v>
      </c>
      <c r="E130" s="164" t="s">
        <v>218</v>
      </c>
      <c r="F130" s="164" t="s">
        <v>219</v>
      </c>
      <c r="G130" s="164" t="s">
        <v>220</v>
      </c>
      <c r="H130" s="164" t="s">
        <v>221</v>
      </c>
      <c r="I130" s="164" t="s">
        <v>222</v>
      </c>
      <c r="J130" s="164" t="s">
        <v>220</v>
      </c>
      <c r="K130" s="164" t="s">
        <v>220</v>
      </c>
      <c r="L130" s="164" t="s">
        <v>220</v>
      </c>
      <c r="M130" s="164" t="s">
        <v>223</v>
      </c>
      <c r="N130" s="164" t="s">
        <v>93</v>
      </c>
      <c r="O130" s="164">
        <v>149</v>
      </c>
      <c r="P130" s="164">
        <v>0</v>
      </c>
      <c r="Q130" s="164">
        <v>0</v>
      </c>
      <c r="R130" s="164">
        <v>0</v>
      </c>
      <c r="S130" s="164">
        <v>0</v>
      </c>
      <c r="T130" s="164">
        <v>0</v>
      </c>
      <c r="U130" s="164">
        <v>0</v>
      </c>
      <c r="V130" s="164">
        <v>7.45</v>
      </c>
      <c r="W130" s="164">
        <v>156.44999999999999</v>
      </c>
      <c r="X130" s="164">
        <v>149</v>
      </c>
      <c r="Y130" s="164">
        <v>22</v>
      </c>
      <c r="Z130" s="164">
        <v>32.78</v>
      </c>
      <c r="AA130" s="164">
        <v>2.88</v>
      </c>
      <c r="AB130" s="164">
        <v>35.659999999999997</v>
      </c>
      <c r="AC130" s="164">
        <v>6.42</v>
      </c>
      <c r="AD130" s="164">
        <v>0</v>
      </c>
      <c r="AE130" s="164">
        <v>149</v>
      </c>
      <c r="AF130" s="164">
        <v>0</v>
      </c>
      <c r="AG130" s="164">
        <v>0</v>
      </c>
      <c r="AH130" s="164">
        <v>0.15</v>
      </c>
      <c r="AI130" s="164">
        <v>7.45</v>
      </c>
      <c r="AJ130" s="164">
        <v>0</v>
      </c>
      <c r="AK130" s="164">
        <v>14.02</v>
      </c>
      <c r="AL130" s="164">
        <v>0</v>
      </c>
      <c r="AM130" s="164">
        <v>0</v>
      </c>
      <c r="AN130" s="164">
        <v>0</v>
      </c>
      <c r="AO130" s="164">
        <v>0</v>
      </c>
      <c r="AP130" s="164">
        <v>0</v>
      </c>
      <c r="AQ130" s="164">
        <v>0</v>
      </c>
      <c r="AR130" s="164">
        <v>0</v>
      </c>
      <c r="AS130" s="164">
        <v>0</v>
      </c>
      <c r="AT130" s="164">
        <v>0</v>
      </c>
      <c r="AU130" s="164">
        <v>49.68</v>
      </c>
      <c r="AV130" s="164">
        <v>0</v>
      </c>
      <c r="AW130" s="164">
        <v>106.77</v>
      </c>
      <c r="AX130" s="164" t="s">
        <v>224</v>
      </c>
      <c r="AY130" s="164" t="s">
        <v>581</v>
      </c>
      <c r="AZ130" s="164" t="s">
        <v>582</v>
      </c>
      <c r="BA130" s="164">
        <v>0</v>
      </c>
      <c r="BB130" s="164" t="s">
        <v>696</v>
      </c>
    </row>
    <row r="131" spans="1:54">
      <c r="A131" s="164" t="s">
        <v>697</v>
      </c>
      <c r="B131" s="164" t="s">
        <v>698</v>
      </c>
      <c r="C131" s="164" t="s">
        <v>699</v>
      </c>
      <c r="D131" s="164" t="s">
        <v>49</v>
      </c>
      <c r="E131" s="164" t="s">
        <v>218</v>
      </c>
      <c r="F131" s="164" t="s">
        <v>219</v>
      </c>
      <c r="G131" s="164" t="s">
        <v>220</v>
      </c>
      <c r="H131" s="164" t="s">
        <v>221</v>
      </c>
      <c r="I131" s="164" t="s">
        <v>222</v>
      </c>
      <c r="J131" s="164" t="s">
        <v>220</v>
      </c>
      <c r="K131" s="164" t="s">
        <v>220</v>
      </c>
      <c r="L131" s="164" t="s">
        <v>220</v>
      </c>
      <c r="M131" s="164" t="s">
        <v>223</v>
      </c>
      <c r="N131" s="164" t="s">
        <v>93</v>
      </c>
      <c r="O131" s="164">
        <v>284</v>
      </c>
      <c r="P131" s="164">
        <v>0</v>
      </c>
      <c r="Q131" s="164">
        <v>0</v>
      </c>
      <c r="R131" s="164">
        <v>0</v>
      </c>
      <c r="S131" s="164">
        <v>0</v>
      </c>
      <c r="T131" s="164">
        <v>0</v>
      </c>
      <c r="U131" s="164">
        <v>0</v>
      </c>
      <c r="V131" s="164">
        <v>14.2</v>
      </c>
      <c r="W131" s="164">
        <v>298.2</v>
      </c>
      <c r="X131" s="164">
        <v>284</v>
      </c>
      <c r="Y131" s="164">
        <v>22</v>
      </c>
      <c r="Z131" s="164">
        <v>62.48</v>
      </c>
      <c r="AA131" s="164">
        <v>5.49</v>
      </c>
      <c r="AB131" s="164">
        <v>67.97</v>
      </c>
      <c r="AC131" s="164">
        <v>12.24</v>
      </c>
      <c r="AD131" s="164">
        <v>0</v>
      </c>
      <c r="AE131" s="164">
        <v>284</v>
      </c>
      <c r="AF131" s="164">
        <v>0</v>
      </c>
      <c r="AG131" s="164">
        <v>0</v>
      </c>
      <c r="AH131" s="164">
        <v>0.28000000000000003</v>
      </c>
      <c r="AI131" s="164">
        <v>14.2</v>
      </c>
      <c r="AJ131" s="164">
        <v>0</v>
      </c>
      <c r="AK131" s="164">
        <v>26.72</v>
      </c>
      <c r="AL131" s="164">
        <v>0</v>
      </c>
      <c r="AM131" s="164">
        <v>0</v>
      </c>
      <c r="AN131" s="164">
        <v>0</v>
      </c>
      <c r="AO131" s="164">
        <v>0</v>
      </c>
      <c r="AP131" s="164">
        <v>0</v>
      </c>
      <c r="AQ131" s="164">
        <v>0</v>
      </c>
      <c r="AR131" s="164">
        <v>0</v>
      </c>
      <c r="AS131" s="164">
        <v>0</v>
      </c>
      <c r="AT131" s="164">
        <v>0</v>
      </c>
      <c r="AU131" s="164">
        <v>94.69</v>
      </c>
      <c r="AV131" s="164">
        <v>0</v>
      </c>
      <c r="AW131" s="164">
        <v>203.51</v>
      </c>
      <c r="AX131" s="164" t="s">
        <v>224</v>
      </c>
      <c r="AY131" s="164" t="s">
        <v>581</v>
      </c>
      <c r="AZ131" s="164" t="s">
        <v>582</v>
      </c>
      <c r="BA131" s="164">
        <v>0</v>
      </c>
      <c r="BB131" s="164" t="s">
        <v>700</v>
      </c>
    </row>
    <row r="132" spans="1:54">
      <c r="A132" s="164" t="s">
        <v>701</v>
      </c>
      <c r="B132" s="164" t="s">
        <v>702</v>
      </c>
      <c r="C132" s="164" t="s">
        <v>703</v>
      </c>
      <c r="D132" s="164" t="s">
        <v>50</v>
      </c>
      <c r="E132" s="164" t="s">
        <v>218</v>
      </c>
      <c r="F132" s="164" t="s">
        <v>219</v>
      </c>
      <c r="G132" s="164" t="s">
        <v>220</v>
      </c>
      <c r="H132" s="164" t="s">
        <v>221</v>
      </c>
      <c r="I132" s="164" t="s">
        <v>222</v>
      </c>
      <c r="J132" s="164" t="s">
        <v>220</v>
      </c>
      <c r="K132" s="164" t="s">
        <v>220</v>
      </c>
      <c r="L132" s="164" t="s">
        <v>220</v>
      </c>
      <c r="M132" s="164" t="s">
        <v>223</v>
      </c>
      <c r="N132" s="164" t="s">
        <v>93</v>
      </c>
      <c r="O132" s="164">
        <v>82</v>
      </c>
      <c r="P132" s="164">
        <v>0</v>
      </c>
      <c r="Q132" s="164">
        <v>0</v>
      </c>
      <c r="R132" s="164">
        <v>0</v>
      </c>
      <c r="S132" s="164">
        <v>0</v>
      </c>
      <c r="T132" s="164">
        <v>0</v>
      </c>
      <c r="U132" s="164">
        <v>0</v>
      </c>
      <c r="V132" s="164">
        <v>4.0999999999999996</v>
      </c>
      <c r="W132" s="164">
        <v>86.1</v>
      </c>
      <c r="X132" s="164">
        <v>82</v>
      </c>
      <c r="Y132" s="164">
        <v>22</v>
      </c>
      <c r="Z132" s="164">
        <v>18.04</v>
      </c>
      <c r="AA132" s="164">
        <v>1.58</v>
      </c>
      <c r="AB132" s="164">
        <v>19.62</v>
      </c>
      <c r="AC132" s="164">
        <v>3.53</v>
      </c>
      <c r="AD132" s="164">
        <v>0</v>
      </c>
      <c r="AE132" s="164">
        <v>82</v>
      </c>
      <c r="AF132" s="164">
        <v>0</v>
      </c>
      <c r="AG132" s="164">
        <v>0</v>
      </c>
      <c r="AH132" s="164">
        <v>0.08</v>
      </c>
      <c r="AI132" s="164">
        <v>4.0999999999999996</v>
      </c>
      <c r="AJ132" s="164">
        <v>0</v>
      </c>
      <c r="AK132" s="164">
        <v>7.71</v>
      </c>
      <c r="AL132" s="164">
        <v>0</v>
      </c>
      <c r="AM132" s="164">
        <v>0</v>
      </c>
      <c r="AN132" s="164">
        <v>0</v>
      </c>
      <c r="AO132" s="164">
        <v>0</v>
      </c>
      <c r="AP132" s="164">
        <v>0</v>
      </c>
      <c r="AQ132" s="164">
        <v>0</v>
      </c>
      <c r="AR132" s="164">
        <v>0</v>
      </c>
      <c r="AS132" s="164">
        <v>0</v>
      </c>
      <c r="AT132" s="164">
        <v>0</v>
      </c>
      <c r="AU132" s="164">
        <v>27.33</v>
      </c>
      <c r="AV132" s="164">
        <v>0</v>
      </c>
      <c r="AW132" s="164">
        <v>58.77</v>
      </c>
      <c r="AX132" s="164" t="s">
        <v>704</v>
      </c>
      <c r="AY132" s="164" t="s">
        <v>220</v>
      </c>
      <c r="AZ132" s="164" t="s">
        <v>220</v>
      </c>
      <c r="BA132" s="164">
        <v>58.77</v>
      </c>
      <c r="BB132" s="164" t="s">
        <v>426</v>
      </c>
    </row>
    <row r="133" spans="1:54">
      <c r="A133" s="164" t="s">
        <v>705</v>
      </c>
      <c r="B133" s="164" t="s">
        <v>706</v>
      </c>
      <c r="C133" s="164" t="s">
        <v>707</v>
      </c>
      <c r="D133" s="164" t="s">
        <v>50</v>
      </c>
      <c r="E133" s="164" t="s">
        <v>218</v>
      </c>
      <c r="F133" s="164" t="s">
        <v>219</v>
      </c>
      <c r="G133" s="164" t="s">
        <v>220</v>
      </c>
      <c r="H133" s="164" t="s">
        <v>221</v>
      </c>
      <c r="I133" s="164" t="s">
        <v>222</v>
      </c>
      <c r="J133" s="164" t="s">
        <v>220</v>
      </c>
      <c r="K133" s="164" t="s">
        <v>220</v>
      </c>
      <c r="L133" s="164" t="s">
        <v>220</v>
      </c>
      <c r="M133" s="164" t="s">
        <v>223</v>
      </c>
      <c r="N133" s="164" t="s">
        <v>93</v>
      </c>
      <c r="O133" s="164">
        <v>229</v>
      </c>
      <c r="P133" s="164">
        <v>0</v>
      </c>
      <c r="Q133" s="164">
        <v>0</v>
      </c>
      <c r="R133" s="164">
        <v>0</v>
      </c>
      <c r="S133" s="164">
        <v>0</v>
      </c>
      <c r="T133" s="164">
        <v>0</v>
      </c>
      <c r="U133" s="164">
        <v>0</v>
      </c>
      <c r="V133" s="164">
        <v>11.45</v>
      </c>
      <c r="W133" s="164">
        <v>240.45</v>
      </c>
      <c r="X133" s="164">
        <v>229</v>
      </c>
      <c r="Y133" s="164">
        <v>22</v>
      </c>
      <c r="Z133" s="164">
        <v>50.38</v>
      </c>
      <c r="AA133" s="164">
        <v>4.42</v>
      </c>
      <c r="AB133" s="164">
        <v>54.8</v>
      </c>
      <c r="AC133" s="164">
        <v>9.8699999999999992</v>
      </c>
      <c r="AD133" s="164">
        <v>0</v>
      </c>
      <c r="AE133" s="164">
        <v>229</v>
      </c>
      <c r="AF133" s="164">
        <v>0</v>
      </c>
      <c r="AG133" s="164">
        <v>0</v>
      </c>
      <c r="AH133" s="164">
        <v>0.23</v>
      </c>
      <c r="AI133" s="164">
        <v>11.45</v>
      </c>
      <c r="AJ133" s="164">
        <v>0</v>
      </c>
      <c r="AK133" s="164">
        <v>21.55</v>
      </c>
      <c r="AL133" s="164">
        <v>0</v>
      </c>
      <c r="AM133" s="164">
        <v>0</v>
      </c>
      <c r="AN133" s="164">
        <v>0</v>
      </c>
      <c r="AO133" s="164">
        <v>0</v>
      </c>
      <c r="AP133" s="164">
        <v>0</v>
      </c>
      <c r="AQ133" s="164">
        <v>0</v>
      </c>
      <c r="AR133" s="164">
        <v>0</v>
      </c>
      <c r="AS133" s="164">
        <v>0</v>
      </c>
      <c r="AT133" s="164">
        <v>0</v>
      </c>
      <c r="AU133" s="164">
        <v>76.349999999999994</v>
      </c>
      <c r="AV133" s="164">
        <v>0</v>
      </c>
      <c r="AW133" s="164">
        <v>164.1</v>
      </c>
      <c r="AX133" s="164" t="s">
        <v>704</v>
      </c>
      <c r="AY133" s="164" t="s">
        <v>220</v>
      </c>
      <c r="AZ133" s="164" t="s">
        <v>220</v>
      </c>
      <c r="BA133" s="164">
        <v>164.1</v>
      </c>
      <c r="BB133" s="164" t="s">
        <v>708</v>
      </c>
    </row>
    <row r="134" spans="1:54">
      <c r="A134" s="164" t="s">
        <v>709</v>
      </c>
      <c r="B134" s="164" t="s">
        <v>710</v>
      </c>
      <c r="C134" s="164" t="s">
        <v>711</v>
      </c>
      <c r="D134" s="164" t="s">
        <v>50</v>
      </c>
      <c r="E134" s="164" t="s">
        <v>218</v>
      </c>
      <c r="F134" s="164" t="s">
        <v>219</v>
      </c>
      <c r="G134" s="164" t="s">
        <v>220</v>
      </c>
      <c r="H134" s="164" t="s">
        <v>221</v>
      </c>
      <c r="I134" s="164" t="s">
        <v>222</v>
      </c>
      <c r="J134" s="164" t="s">
        <v>220</v>
      </c>
      <c r="K134" s="164" t="s">
        <v>220</v>
      </c>
      <c r="L134" s="164" t="s">
        <v>220</v>
      </c>
      <c r="M134" s="164" t="s">
        <v>223</v>
      </c>
      <c r="N134" s="164" t="s">
        <v>93</v>
      </c>
      <c r="O134" s="164">
        <v>435</v>
      </c>
      <c r="P134" s="164">
        <v>0</v>
      </c>
      <c r="Q134" s="164">
        <v>0</v>
      </c>
      <c r="R134" s="164">
        <v>0</v>
      </c>
      <c r="S134" s="164">
        <v>0</v>
      </c>
      <c r="T134" s="164">
        <v>0</v>
      </c>
      <c r="U134" s="164">
        <v>0</v>
      </c>
      <c r="V134" s="164">
        <v>21.75</v>
      </c>
      <c r="W134" s="164">
        <v>456.75</v>
      </c>
      <c r="X134" s="164">
        <v>435</v>
      </c>
      <c r="Y134" s="164">
        <v>22</v>
      </c>
      <c r="Z134" s="164">
        <v>95.7</v>
      </c>
      <c r="AA134" s="164">
        <v>8.4</v>
      </c>
      <c r="AB134" s="164">
        <v>104.1</v>
      </c>
      <c r="AC134" s="164">
        <v>18.739999999999998</v>
      </c>
      <c r="AD134" s="164">
        <v>0</v>
      </c>
      <c r="AE134" s="164">
        <v>435</v>
      </c>
      <c r="AF134" s="164">
        <v>0</v>
      </c>
      <c r="AG134" s="164">
        <v>0</v>
      </c>
      <c r="AH134" s="164">
        <v>0.44</v>
      </c>
      <c r="AI134" s="164">
        <v>21.75</v>
      </c>
      <c r="AJ134" s="164">
        <v>0</v>
      </c>
      <c r="AK134" s="164">
        <v>40.93</v>
      </c>
      <c r="AL134" s="164">
        <v>0</v>
      </c>
      <c r="AM134" s="164">
        <v>0</v>
      </c>
      <c r="AN134" s="164">
        <v>0</v>
      </c>
      <c r="AO134" s="164">
        <v>0</v>
      </c>
      <c r="AP134" s="164">
        <v>0</v>
      </c>
      <c r="AQ134" s="164">
        <v>0</v>
      </c>
      <c r="AR134" s="164">
        <v>0</v>
      </c>
      <c r="AS134" s="164">
        <v>0</v>
      </c>
      <c r="AT134" s="164">
        <v>0</v>
      </c>
      <c r="AU134" s="164">
        <v>145.03</v>
      </c>
      <c r="AV134" s="164">
        <v>0</v>
      </c>
      <c r="AW134" s="164">
        <v>311.72000000000003</v>
      </c>
      <c r="AX134" s="164" t="s">
        <v>704</v>
      </c>
      <c r="AY134" s="164" t="s">
        <v>220</v>
      </c>
      <c r="AZ134" s="164" t="s">
        <v>220</v>
      </c>
      <c r="BA134" s="164">
        <v>311.72000000000003</v>
      </c>
      <c r="BB134" s="164" t="s">
        <v>712</v>
      </c>
    </row>
    <row r="135" spans="1:54">
      <c r="A135" s="164" t="s">
        <v>713</v>
      </c>
      <c r="B135" s="164" t="s">
        <v>714</v>
      </c>
      <c r="C135" s="164" t="s">
        <v>715</v>
      </c>
      <c r="D135" s="164" t="s">
        <v>50</v>
      </c>
      <c r="E135" s="164" t="s">
        <v>218</v>
      </c>
      <c r="F135" s="164" t="s">
        <v>219</v>
      </c>
      <c r="G135" s="164" t="s">
        <v>220</v>
      </c>
      <c r="H135" s="164" t="s">
        <v>221</v>
      </c>
      <c r="I135" s="164" t="s">
        <v>222</v>
      </c>
      <c r="J135" s="164" t="s">
        <v>220</v>
      </c>
      <c r="K135" s="164" t="s">
        <v>220</v>
      </c>
      <c r="L135" s="164" t="s">
        <v>220</v>
      </c>
      <c r="M135" s="164" t="s">
        <v>223</v>
      </c>
      <c r="N135" s="164" t="s">
        <v>93</v>
      </c>
      <c r="O135" s="164">
        <v>284</v>
      </c>
      <c r="P135" s="164">
        <v>0</v>
      </c>
      <c r="Q135" s="164">
        <v>0</v>
      </c>
      <c r="R135" s="164">
        <v>0</v>
      </c>
      <c r="S135" s="164">
        <v>0</v>
      </c>
      <c r="T135" s="164">
        <v>0</v>
      </c>
      <c r="U135" s="164">
        <v>0</v>
      </c>
      <c r="V135" s="164">
        <v>14.2</v>
      </c>
      <c r="W135" s="164">
        <v>298.2</v>
      </c>
      <c r="X135" s="164">
        <v>284</v>
      </c>
      <c r="Y135" s="164">
        <v>22</v>
      </c>
      <c r="Z135" s="164">
        <v>62.48</v>
      </c>
      <c r="AA135" s="164">
        <v>5.49</v>
      </c>
      <c r="AB135" s="164">
        <v>67.97</v>
      </c>
      <c r="AC135" s="164">
        <v>12.24</v>
      </c>
      <c r="AD135" s="164">
        <v>0</v>
      </c>
      <c r="AE135" s="164">
        <v>284</v>
      </c>
      <c r="AF135" s="164">
        <v>0</v>
      </c>
      <c r="AG135" s="164">
        <v>0</v>
      </c>
      <c r="AH135" s="164">
        <v>0.28000000000000003</v>
      </c>
      <c r="AI135" s="164">
        <v>14.2</v>
      </c>
      <c r="AJ135" s="164">
        <v>0</v>
      </c>
      <c r="AK135" s="164">
        <v>26.72</v>
      </c>
      <c r="AL135" s="164">
        <v>0</v>
      </c>
      <c r="AM135" s="164">
        <v>0</v>
      </c>
      <c r="AN135" s="164">
        <v>0</v>
      </c>
      <c r="AO135" s="164">
        <v>0</v>
      </c>
      <c r="AP135" s="164">
        <v>0</v>
      </c>
      <c r="AQ135" s="164">
        <v>0</v>
      </c>
      <c r="AR135" s="164">
        <v>0</v>
      </c>
      <c r="AS135" s="164">
        <v>0</v>
      </c>
      <c r="AT135" s="164">
        <v>0</v>
      </c>
      <c r="AU135" s="164">
        <v>94.69</v>
      </c>
      <c r="AV135" s="164">
        <v>0</v>
      </c>
      <c r="AW135" s="164">
        <v>203.51</v>
      </c>
      <c r="AX135" s="164" t="s">
        <v>704</v>
      </c>
      <c r="AY135" s="164" t="s">
        <v>220</v>
      </c>
      <c r="AZ135" s="164" t="s">
        <v>220</v>
      </c>
      <c r="BA135" s="164">
        <v>203.51</v>
      </c>
      <c r="BB135" s="164" t="s">
        <v>716</v>
      </c>
    </row>
    <row r="136" spans="1:54">
      <c r="A136" s="164" t="s">
        <v>717</v>
      </c>
      <c r="B136" s="164" t="s">
        <v>718</v>
      </c>
      <c r="C136" s="164" t="s">
        <v>719</v>
      </c>
      <c r="D136" s="164" t="s">
        <v>50</v>
      </c>
      <c r="E136" s="164" t="s">
        <v>218</v>
      </c>
      <c r="F136" s="164" t="s">
        <v>219</v>
      </c>
      <c r="G136" s="164" t="s">
        <v>220</v>
      </c>
      <c r="H136" s="164" t="s">
        <v>221</v>
      </c>
      <c r="I136" s="164" t="s">
        <v>222</v>
      </c>
      <c r="J136" s="164" t="s">
        <v>220</v>
      </c>
      <c r="K136" s="164" t="s">
        <v>220</v>
      </c>
      <c r="L136" s="164" t="s">
        <v>220</v>
      </c>
      <c r="M136" s="164" t="s">
        <v>223</v>
      </c>
      <c r="N136" s="164" t="s">
        <v>93</v>
      </c>
      <c r="O136" s="164">
        <v>598</v>
      </c>
      <c r="P136" s="164">
        <v>0</v>
      </c>
      <c r="Q136" s="164">
        <v>0</v>
      </c>
      <c r="R136" s="164">
        <v>0</v>
      </c>
      <c r="S136" s="164">
        <v>0</v>
      </c>
      <c r="T136" s="164">
        <v>0</v>
      </c>
      <c r="U136" s="164">
        <v>0</v>
      </c>
      <c r="V136" s="164">
        <v>29.9</v>
      </c>
      <c r="W136" s="164">
        <v>627.9</v>
      </c>
      <c r="X136" s="164">
        <v>598</v>
      </c>
      <c r="Y136" s="164">
        <v>22</v>
      </c>
      <c r="Z136" s="164">
        <v>131.56</v>
      </c>
      <c r="AA136" s="164">
        <v>11.55</v>
      </c>
      <c r="AB136" s="164">
        <v>143.11000000000001</v>
      </c>
      <c r="AC136" s="164">
        <v>25.76</v>
      </c>
      <c r="AD136" s="164">
        <v>0</v>
      </c>
      <c r="AE136" s="164">
        <v>598</v>
      </c>
      <c r="AF136" s="164">
        <v>0</v>
      </c>
      <c r="AG136" s="164">
        <v>0</v>
      </c>
      <c r="AH136" s="164">
        <v>0.6</v>
      </c>
      <c r="AI136" s="164">
        <v>29.9</v>
      </c>
      <c r="AJ136" s="164">
        <v>0</v>
      </c>
      <c r="AK136" s="164">
        <v>56.26</v>
      </c>
      <c r="AL136" s="164">
        <v>0</v>
      </c>
      <c r="AM136" s="164">
        <v>0</v>
      </c>
      <c r="AN136" s="164">
        <v>0</v>
      </c>
      <c r="AO136" s="164">
        <v>0</v>
      </c>
      <c r="AP136" s="164">
        <v>0</v>
      </c>
      <c r="AQ136" s="164">
        <v>0</v>
      </c>
      <c r="AR136" s="164">
        <v>0</v>
      </c>
      <c r="AS136" s="164">
        <v>0</v>
      </c>
      <c r="AT136" s="164">
        <v>0</v>
      </c>
      <c r="AU136" s="164">
        <v>199.37</v>
      </c>
      <c r="AV136" s="164">
        <v>0</v>
      </c>
      <c r="AW136" s="164">
        <v>428.53</v>
      </c>
      <c r="AX136" s="164" t="s">
        <v>704</v>
      </c>
      <c r="AY136" s="164" t="s">
        <v>220</v>
      </c>
      <c r="AZ136" s="164" t="s">
        <v>220</v>
      </c>
      <c r="BA136" s="164">
        <v>428.53</v>
      </c>
      <c r="BB136" s="164" t="s">
        <v>712</v>
      </c>
    </row>
    <row r="137" spans="1:54">
      <c r="A137" s="164" t="s">
        <v>720</v>
      </c>
      <c r="B137" s="164" t="s">
        <v>721</v>
      </c>
      <c r="C137" s="164" t="s">
        <v>722</v>
      </c>
      <c r="D137" s="164" t="s">
        <v>50</v>
      </c>
      <c r="E137" s="164" t="s">
        <v>218</v>
      </c>
      <c r="F137" s="164" t="s">
        <v>219</v>
      </c>
      <c r="G137" s="164" t="s">
        <v>220</v>
      </c>
      <c r="H137" s="164" t="s">
        <v>221</v>
      </c>
      <c r="I137" s="164" t="s">
        <v>222</v>
      </c>
      <c r="J137" s="164" t="s">
        <v>220</v>
      </c>
      <c r="K137" s="164" t="s">
        <v>220</v>
      </c>
      <c r="L137" s="164" t="s">
        <v>220</v>
      </c>
      <c r="M137" s="164" t="s">
        <v>223</v>
      </c>
      <c r="N137" s="164" t="s">
        <v>93</v>
      </c>
      <c r="O137" s="164">
        <v>162</v>
      </c>
      <c r="P137" s="164">
        <v>0</v>
      </c>
      <c r="Q137" s="164">
        <v>0</v>
      </c>
      <c r="R137" s="164">
        <v>0</v>
      </c>
      <c r="S137" s="164">
        <v>0</v>
      </c>
      <c r="T137" s="164">
        <v>0</v>
      </c>
      <c r="U137" s="164">
        <v>0</v>
      </c>
      <c r="V137" s="164">
        <v>8.1</v>
      </c>
      <c r="W137" s="164">
        <v>170.1</v>
      </c>
      <c r="X137" s="164">
        <v>162</v>
      </c>
      <c r="Y137" s="164">
        <v>22</v>
      </c>
      <c r="Z137" s="164">
        <v>35.64</v>
      </c>
      <c r="AA137" s="164">
        <v>3.13</v>
      </c>
      <c r="AB137" s="164">
        <v>38.770000000000003</v>
      </c>
      <c r="AC137" s="164">
        <v>6.98</v>
      </c>
      <c r="AD137" s="164">
        <v>0</v>
      </c>
      <c r="AE137" s="164">
        <v>162</v>
      </c>
      <c r="AF137" s="164">
        <v>0</v>
      </c>
      <c r="AG137" s="164">
        <v>0</v>
      </c>
      <c r="AH137" s="164">
        <v>0.16</v>
      </c>
      <c r="AI137" s="164">
        <v>8.1</v>
      </c>
      <c r="AJ137" s="164">
        <v>0</v>
      </c>
      <c r="AK137" s="164">
        <v>15.24</v>
      </c>
      <c r="AL137" s="164">
        <v>0</v>
      </c>
      <c r="AM137" s="164">
        <v>0</v>
      </c>
      <c r="AN137" s="164">
        <v>0</v>
      </c>
      <c r="AO137" s="164">
        <v>0</v>
      </c>
      <c r="AP137" s="164">
        <v>0</v>
      </c>
      <c r="AQ137" s="164">
        <v>0</v>
      </c>
      <c r="AR137" s="164">
        <v>0</v>
      </c>
      <c r="AS137" s="164">
        <v>0</v>
      </c>
      <c r="AT137" s="164">
        <v>0</v>
      </c>
      <c r="AU137" s="164">
        <v>54.01</v>
      </c>
      <c r="AV137" s="164">
        <v>0</v>
      </c>
      <c r="AW137" s="164">
        <v>116.09</v>
      </c>
      <c r="AX137" s="164" t="s">
        <v>704</v>
      </c>
      <c r="AY137" s="164" t="s">
        <v>220</v>
      </c>
      <c r="AZ137" s="164" t="s">
        <v>220</v>
      </c>
      <c r="BA137" s="164">
        <v>116.09</v>
      </c>
      <c r="BB137" s="164" t="s">
        <v>396</v>
      </c>
    </row>
    <row r="138" spans="1:54">
      <c r="A138" s="164" t="s">
        <v>723</v>
      </c>
      <c r="B138" s="164" t="s">
        <v>724</v>
      </c>
      <c r="C138" s="164" t="s">
        <v>725</v>
      </c>
      <c r="D138" s="164" t="s">
        <v>50</v>
      </c>
      <c r="E138" s="164" t="s">
        <v>218</v>
      </c>
      <c r="F138" s="164" t="s">
        <v>219</v>
      </c>
      <c r="G138" s="164" t="s">
        <v>220</v>
      </c>
      <c r="H138" s="164" t="s">
        <v>221</v>
      </c>
      <c r="I138" s="164" t="s">
        <v>222</v>
      </c>
      <c r="J138" s="164" t="s">
        <v>220</v>
      </c>
      <c r="K138" s="164" t="s">
        <v>220</v>
      </c>
      <c r="L138" s="164" t="s">
        <v>220</v>
      </c>
      <c r="M138" s="164" t="s">
        <v>223</v>
      </c>
      <c r="N138" s="164" t="s">
        <v>93</v>
      </c>
      <c r="O138" s="164">
        <v>480</v>
      </c>
      <c r="P138" s="164">
        <v>0</v>
      </c>
      <c r="Q138" s="164">
        <v>0</v>
      </c>
      <c r="R138" s="164">
        <v>0</v>
      </c>
      <c r="S138" s="164">
        <v>0</v>
      </c>
      <c r="T138" s="164">
        <v>0</v>
      </c>
      <c r="U138" s="164">
        <v>0</v>
      </c>
      <c r="V138" s="164">
        <v>24</v>
      </c>
      <c r="W138" s="164">
        <v>504</v>
      </c>
      <c r="X138" s="164">
        <v>480</v>
      </c>
      <c r="Y138" s="164">
        <v>22</v>
      </c>
      <c r="Z138" s="164">
        <v>105.6</v>
      </c>
      <c r="AA138" s="164">
        <v>9.27</v>
      </c>
      <c r="AB138" s="164">
        <v>114.87</v>
      </c>
      <c r="AC138" s="164">
        <v>20.68</v>
      </c>
      <c r="AD138" s="164">
        <v>0</v>
      </c>
      <c r="AE138" s="164">
        <v>480</v>
      </c>
      <c r="AF138" s="164">
        <v>0</v>
      </c>
      <c r="AG138" s="164">
        <v>0</v>
      </c>
      <c r="AH138" s="164">
        <v>0.48</v>
      </c>
      <c r="AI138" s="164">
        <v>24</v>
      </c>
      <c r="AJ138" s="164">
        <v>0</v>
      </c>
      <c r="AK138" s="164">
        <v>45.16</v>
      </c>
      <c r="AL138" s="164">
        <v>0</v>
      </c>
      <c r="AM138" s="164">
        <v>0</v>
      </c>
      <c r="AN138" s="164">
        <v>0</v>
      </c>
      <c r="AO138" s="164">
        <v>0</v>
      </c>
      <c r="AP138" s="164">
        <v>0</v>
      </c>
      <c r="AQ138" s="164">
        <v>0</v>
      </c>
      <c r="AR138" s="164">
        <v>0</v>
      </c>
      <c r="AS138" s="164">
        <v>0</v>
      </c>
      <c r="AT138" s="164">
        <v>0</v>
      </c>
      <c r="AU138" s="164">
        <v>160.03</v>
      </c>
      <c r="AV138" s="164">
        <v>0</v>
      </c>
      <c r="AW138" s="164">
        <v>343.97</v>
      </c>
      <c r="AX138" s="164" t="s">
        <v>704</v>
      </c>
      <c r="AY138" s="164" t="s">
        <v>220</v>
      </c>
      <c r="AZ138" s="164" t="s">
        <v>220</v>
      </c>
      <c r="BA138" s="164">
        <v>343.97</v>
      </c>
      <c r="BB138" s="164" t="s">
        <v>233</v>
      </c>
    </row>
    <row r="139" spans="1:54">
      <c r="A139" s="164" t="s">
        <v>726</v>
      </c>
      <c r="B139" s="164" t="s">
        <v>727</v>
      </c>
      <c r="C139" s="164" t="s">
        <v>728</v>
      </c>
      <c r="D139" s="164" t="s">
        <v>50</v>
      </c>
      <c r="E139" s="164" t="s">
        <v>218</v>
      </c>
      <c r="F139" s="164" t="s">
        <v>219</v>
      </c>
      <c r="G139" s="164" t="s">
        <v>220</v>
      </c>
      <c r="H139" s="164" t="s">
        <v>221</v>
      </c>
      <c r="I139" s="164" t="s">
        <v>222</v>
      </c>
      <c r="J139" s="164" t="s">
        <v>220</v>
      </c>
      <c r="K139" s="164" t="s">
        <v>220</v>
      </c>
      <c r="L139" s="164" t="s">
        <v>220</v>
      </c>
      <c r="M139" s="164" t="s">
        <v>223</v>
      </c>
      <c r="N139" s="164" t="s">
        <v>93</v>
      </c>
      <c r="O139" s="164">
        <v>284</v>
      </c>
      <c r="P139" s="164">
        <v>0</v>
      </c>
      <c r="Q139" s="164">
        <v>0</v>
      </c>
      <c r="R139" s="164">
        <v>0</v>
      </c>
      <c r="S139" s="164">
        <v>0</v>
      </c>
      <c r="T139" s="164">
        <v>0</v>
      </c>
      <c r="U139" s="164">
        <v>0</v>
      </c>
      <c r="V139" s="164">
        <v>14.2</v>
      </c>
      <c r="W139" s="164">
        <v>298.2</v>
      </c>
      <c r="X139" s="164">
        <v>284</v>
      </c>
      <c r="Y139" s="164">
        <v>22</v>
      </c>
      <c r="Z139" s="164">
        <v>62.48</v>
      </c>
      <c r="AA139" s="164">
        <v>5.49</v>
      </c>
      <c r="AB139" s="164">
        <v>67.97</v>
      </c>
      <c r="AC139" s="164">
        <v>12.24</v>
      </c>
      <c r="AD139" s="164">
        <v>0</v>
      </c>
      <c r="AE139" s="164">
        <v>284</v>
      </c>
      <c r="AF139" s="164">
        <v>0</v>
      </c>
      <c r="AG139" s="164">
        <v>0</v>
      </c>
      <c r="AH139" s="164">
        <v>0.28000000000000003</v>
      </c>
      <c r="AI139" s="164">
        <v>14.2</v>
      </c>
      <c r="AJ139" s="164">
        <v>0</v>
      </c>
      <c r="AK139" s="164">
        <v>26.72</v>
      </c>
      <c r="AL139" s="164">
        <v>0</v>
      </c>
      <c r="AM139" s="164">
        <v>0</v>
      </c>
      <c r="AN139" s="164">
        <v>0</v>
      </c>
      <c r="AO139" s="164">
        <v>0</v>
      </c>
      <c r="AP139" s="164">
        <v>0</v>
      </c>
      <c r="AQ139" s="164">
        <v>0</v>
      </c>
      <c r="AR139" s="164">
        <v>0</v>
      </c>
      <c r="AS139" s="164">
        <v>0</v>
      </c>
      <c r="AT139" s="164">
        <v>0</v>
      </c>
      <c r="AU139" s="164">
        <v>94.69</v>
      </c>
      <c r="AV139" s="164">
        <v>0</v>
      </c>
      <c r="AW139" s="164">
        <v>203.51</v>
      </c>
      <c r="AX139" s="164" t="s">
        <v>704</v>
      </c>
      <c r="AY139" s="164" t="s">
        <v>220</v>
      </c>
      <c r="AZ139" s="164" t="s">
        <v>220</v>
      </c>
      <c r="BA139" s="164">
        <v>203.51</v>
      </c>
      <c r="BB139" s="164" t="s">
        <v>729</v>
      </c>
    </row>
    <row r="140" spans="1:54">
      <c r="A140" s="164" t="s">
        <v>730</v>
      </c>
      <c r="B140" s="164" t="s">
        <v>731</v>
      </c>
      <c r="C140" s="164" t="s">
        <v>732</v>
      </c>
      <c r="D140" s="164" t="s">
        <v>50</v>
      </c>
      <c r="E140" s="164" t="s">
        <v>218</v>
      </c>
      <c r="F140" s="164" t="s">
        <v>219</v>
      </c>
      <c r="G140" s="164" t="s">
        <v>220</v>
      </c>
      <c r="H140" s="164" t="s">
        <v>221</v>
      </c>
      <c r="I140" s="164" t="s">
        <v>222</v>
      </c>
      <c r="J140" s="164" t="s">
        <v>220</v>
      </c>
      <c r="K140" s="164" t="s">
        <v>220</v>
      </c>
      <c r="L140" s="164" t="s">
        <v>220</v>
      </c>
      <c r="M140" s="164" t="s">
        <v>223</v>
      </c>
      <c r="N140" s="164" t="s">
        <v>93</v>
      </c>
      <c r="O140" s="164">
        <v>808</v>
      </c>
      <c r="P140" s="164">
        <v>0</v>
      </c>
      <c r="Q140" s="164">
        <v>0</v>
      </c>
      <c r="R140" s="164">
        <v>0</v>
      </c>
      <c r="S140" s="164">
        <v>0</v>
      </c>
      <c r="T140" s="164">
        <v>0</v>
      </c>
      <c r="U140" s="164">
        <v>0</v>
      </c>
      <c r="V140" s="164">
        <v>40.4</v>
      </c>
      <c r="W140" s="164">
        <v>848.4</v>
      </c>
      <c r="X140" s="164">
        <v>808</v>
      </c>
      <c r="Y140" s="164">
        <v>22</v>
      </c>
      <c r="Z140" s="164">
        <v>177.76</v>
      </c>
      <c r="AA140" s="164">
        <v>15.61</v>
      </c>
      <c r="AB140" s="164">
        <v>193.37</v>
      </c>
      <c r="AC140" s="164">
        <v>34.81</v>
      </c>
      <c r="AD140" s="164">
        <v>0</v>
      </c>
      <c r="AE140" s="164">
        <v>808</v>
      </c>
      <c r="AF140" s="164">
        <v>0</v>
      </c>
      <c r="AG140" s="164">
        <v>0</v>
      </c>
      <c r="AH140" s="164">
        <v>0.81</v>
      </c>
      <c r="AI140" s="164">
        <v>40.4</v>
      </c>
      <c r="AJ140" s="164">
        <v>0</v>
      </c>
      <c r="AK140" s="164">
        <v>76.02</v>
      </c>
      <c r="AL140" s="164">
        <v>0</v>
      </c>
      <c r="AM140" s="164">
        <v>0</v>
      </c>
      <c r="AN140" s="164">
        <v>0</v>
      </c>
      <c r="AO140" s="164">
        <v>0</v>
      </c>
      <c r="AP140" s="164">
        <v>0</v>
      </c>
      <c r="AQ140" s="164">
        <v>0</v>
      </c>
      <c r="AR140" s="164">
        <v>0</v>
      </c>
      <c r="AS140" s="164">
        <v>0</v>
      </c>
      <c r="AT140" s="164">
        <v>0</v>
      </c>
      <c r="AU140" s="164">
        <v>269.39</v>
      </c>
      <c r="AV140" s="164">
        <v>0</v>
      </c>
      <c r="AW140" s="164">
        <v>579.01</v>
      </c>
      <c r="AX140" s="164" t="s">
        <v>704</v>
      </c>
      <c r="AY140" s="164" t="s">
        <v>220</v>
      </c>
      <c r="AZ140" s="164" t="s">
        <v>220</v>
      </c>
      <c r="BA140" s="164">
        <v>579.01</v>
      </c>
      <c r="BB140" s="164" t="s">
        <v>230</v>
      </c>
    </row>
    <row r="141" spans="1:54">
      <c r="A141" s="164" t="s">
        <v>733</v>
      </c>
      <c r="B141" s="164" t="s">
        <v>734</v>
      </c>
      <c r="C141" s="164" t="s">
        <v>735</v>
      </c>
      <c r="D141" s="164" t="s">
        <v>50</v>
      </c>
      <c r="E141" s="164" t="s">
        <v>218</v>
      </c>
      <c r="F141" s="164" t="s">
        <v>219</v>
      </c>
      <c r="G141" s="164" t="s">
        <v>220</v>
      </c>
      <c r="H141" s="164" t="s">
        <v>221</v>
      </c>
      <c r="I141" s="164" t="s">
        <v>222</v>
      </c>
      <c r="J141" s="164" t="s">
        <v>220</v>
      </c>
      <c r="K141" s="164" t="s">
        <v>220</v>
      </c>
      <c r="L141" s="164" t="s">
        <v>220</v>
      </c>
      <c r="M141" s="164" t="s">
        <v>223</v>
      </c>
      <c r="N141" s="164" t="s">
        <v>93</v>
      </c>
      <c r="O141" s="164">
        <v>414</v>
      </c>
      <c r="P141" s="164">
        <v>0</v>
      </c>
      <c r="Q141" s="164">
        <v>0</v>
      </c>
      <c r="R141" s="164">
        <v>0</v>
      </c>
      <c r="S141" s="164">
        <v>0</v>
      </c>
      <c r="T141" s="164">
        <v>0</v>
      </c>
      <c r="U141" s="164">
        <v>0</v>
      </c>
      <c r="V141" s="164">
        <v>20.7</v>
      </c>
      <c r="W141" s="164">
        <v>434.7</v>
      </c>
      <c r="X141" s="164">
        <v>414</v>
      </c>
      <c r="Y141" s="164">
        <v>22</v>
      </c>
      <c r="Z141" s="164">
        <v>91.08</v>
      </c>
      <c r="AA141" s="164">
        <v>8</v>
      </c>
      <c r="AB141" s="164">
        <v>99.08</v>
      </c>
      <c r="AC141" s="164">
        <v>17.829999999999998</v>
      </c>
      <c r="AD141" s="164">
        <v>0</v>
      </c>
      <c r="AE141" s="164">
        <v>414</v>
      </c>
      <c r="AF141" s="164">
        <v>0</v>
      </c>
      <c r="AG141" s="164">
        <v>0</v>
      </c>
      <c r="AH141" s="164">
        <v>0.41</v>
      </c>
      <c r="AI141" s="164">
        <v>20.7</v>
      </c>
      <c r="AJ141" s="164">
        <v>0</v>
      </c>
      <c r="AK141" s="164">
        <v>38.94</v>
      </c>
      <c r="AL141" s="164">
        <v>0</v>
      </c>
      <c r="AM141" s="164">
        <v>0</v>
      </c>
      <c r="AN141" s="164">
        <v>0</v>
      </c>
      <c r="AO141" s="164">
        <v>0</v>
      </c>
      <c r="AP141" s="164">
        <v>0</v>
      </c>
      <c r="AQ141" s="164">
        <v>0</v>
      </c>
      <c r="AR141" s="164">
        <v>0</v>
      </c>
      <c r="AS141" s="164">
        <v>0</v>
      </c>
      <c r="AT141" s="164">
        <v>0</v>
      </c>
      <c r="AU141" s="164">
        <v>138.02000000000001</v>
      </c>
      <c r="AV141" s="164">
        <v>0</v>
      </c>
      <c r="AW141" s="164">
        <v>296.68</v>
      </c>
      <c r="AX141" s="164" t="s">
        <v>704</v>
      </c>
      <c r="AY141" s="164" t="s">
        <v>220</v>
      </c>
      <c r="AZ141" s="164" t="s">
        <v>220</v>
      </c>
      <c r="BA141" s="164">
        <v>296.68</v>
      </c>
      <c r="BB141" s="164" t="s">
        <v>736</v>
      </c>
    </row>
    <row r="142" spans="1:54">
      <c r="A142" s="164" t="s">
        <v>737</v>
      </c>
      <c r="B142" s="164" t="s">
        <v>738</v>
      </c>
      <c r="C142" s="164" t="s">
        <v>739</v>
      </c>
      <c r="D142" s="164" t="s">
        <v>50</v>
      </c>
      <c r="E142" s="164" t="s">
        <v>218</v>
      </c>
      <c r="F142" s="164" t="s">
        <v>219</v>
      </c>
      <c r="G142" s="164" t="s">
        <v>220</v>
      </c>
      <c r="H142" s="164" t="s">
        <v>221</v>
      </c>
      <c r="I142" s="164" t="s">
        <v>222</v>
      </c>
      <c r="J142" s="164" t="s">
        <v>220</v>
      </c>
      <c r="K142" s="164" t="s">
        <v>220</v>
      </c>
      <c r="L142" s="164" t="s">
        <v>220</v>
      </c>
      <c r="M142" s="164" t="s">
        <v>223</v>
      </c>
      <c r="N142" s="164" t="s">
        <v>93</v>
      </c>
      <c r="O142" s="164">
        <v>284</v>
      </c>
      <c r="P142" s="164">
        <v>0</v>
      </c>
      <c r="Q142" s="164">
        <v>0</v>
      </c>
      <c r="R142" s="164">
        <v>0</v>
      </c>
      <c r="S142" s="164">
        <v>0</v>
      </c>
      <c r="T142" s="164">
        <v>0</v>
      </c>
      <c r="U142" s="164">
        <v>0</v>
      </c>
      <c r="V142" s="164">
        <v>14.2</v>
      </c>
      <c r="W142" s="164">
        <v>298.2</v>
      </c>
      <c r="X142" s="164">
        <v>284</v>
      </c>
      <c r="Y142" s="164">
        <v>22</v>
      </c>
      <c r="Z142" s="164">
        <v>62.48</v>
      </c>
      <c r="AA142" s="164">
        <v>5.49</v>
      </c>
      <c r="AB142" s="164">
        <v>67.97</v>
      </c>
      <c r="AC142" s="164">
        <v>12.24</v>
      </c>
      <c r="AD142" s="164">
        <v>0</v>
      </c>
      <c r="AE142" s="164">
        <v>284</v>
      </c>
      <c r="AF142" s="164">
        <v>0</v>
      </c>
      <c r="AG142" s="164">
        <v>0</v>
      </c>
      <c r="AH142" s="164">
        <v>0.28000000000000003</v>
      </c>
      <c r="AI142" s="164">
        <v>14.2</v>
      </c>
      <c r="AJ142" s="164">
        <v>0</v>
      </c>
      <c r="AK142" s="164">
        <v>26.72</v>
      </c>
      <c r="AL142" s="164">
        <v>0</v>
      </c>
      <c r="AM142" s="164">
        <v>0</v>
      </c>
      <c r="AN142" s="164">
        <v>0</v>
      </c>
      <c r="AO142" s="164">
        <v>0</v>
      </c>
      <c r="AP142" s="164">
        <v>0</v>
      </c>
      <c r="AQ142" s="164">
        <v>0</v>
      </c>
      <c r="AR142" s="164">
        <v>0</v>
      </c>
      <c r="AS142" s="164">
        <v>0</v>
      </c>
      <c r="AT142" s="164">
        <v>0</v>
      </c>
      <c r="AU142" s="164">
        <v>94.69</v>
      </c>
      <c r="AV142" s="164">
        <v>0</v>
      </c>
      <c r="AW142" s="164">
        <v>203.51</v>
      </c>
      <c r="AX142" s="164" t="s">
        <v>704</v>
      </c>
      <c r="AY142" s="164" t="s">
        <v>220</v>
      </c>
      <c r="AZ142" s="164" t="s">
        <v>220</v>
      </c>
      <c r="BA142" s="164">
        <v>203.51</v>
      </c>
      <c r="BB142" s="164" t="s">
        <v>481</v>
      </c>
    </row>
    <row r="143" spans="1:54">
      <c r="A143" s="164" t="s">
        <v>740</v>
      </c>
      <c r="B143" s="164" t="s">
        <v>741</v>
      </c>
      <c r="C143" s="164" t="s">
        <v>742</v>
      </c>
      <c r="D143" s="164" t="s">
        <v>50</v>
      </c>
      <c r="E143" s="164" t="s">
        <v>218</v>
      </c>
      <c r="F143" s="164" t="s">
        <v>219</v>
      </c>
      <c r="G143" s="164" t="s">
        <v>220</v>
      </c>
      <c r="H143" s="164" t="s">
        <v>221</v>
      </c>
      <c r="I143" s="164" t="s">
        <v>222</v>
      </c>
      <c r="J143" s="164" t="s">
        <v>220</v>
      </c>
      <c r="K143" s="164" t="s">
        <v>220</v>
      </c>
      <c r="L143" s="164" t="s">
        <v>220</v>
      </c>
      <c r="M143" s="164" t="s">
        <v>223</v>
      </c>
      <c r="N143" s="164" t="s">
        <v>93</v>
      </c>
      <c r="O143" s="164">
        <v>229</v>
      </c>
      <c r="P143" s="164">
        <v>0</v>
      </c>
      <c r="Q143" s="164">
        <v>0</v>
      </c>
      <c r="R143" s="164">
        <v>0</v>
      </c>
      <c r="S143" s="164">
        <v>0</v>
      </c>
      <c r="T143" s="164">
        <v>0</v>
      </c>
      <c r="U143" s="164">
        <v>0</v>
      </c>
      <c r="V143" s="164">
        <v>11.45</v>
      </c>
      <c r="W143" s="164">
        <v>240.45</v>
      </c>
      <c r="X143" s="164">
        <v>229</v>
      </c>
      <c r="Y143" s="164">
        <v>22</v>
      </c>
      <c r="Z143" s="164">
        <v>50.38</v>
      </c>
      <c r="AA143" s="164">
        <v>4.42</v>
      </c>
      <c r="AB143" s="164">
        <v>54.8</v>
      </c>
      <c r="AC143" s="164">
        <v>9.8699999999999992</v>
      </c>
      <c r="AD143" s="164">
        <v>0</v>
      </c>
      <c r="AE143" s="164">
        <v>229</v>
      </c>
      <c r="AF143" s="164">
        <v>0</v>
      </c>
      <c r="AG143" s="164">
        <v>0</v>
      </c>
      <c r="AH143" s="164">
        <v>0.23</v>
      </c>
      <c r="AI143" s="164">
        <v>11.45</v>
      </c>
      <c r="AJ143" s="164">
        <v>0</v>
      </c>
      <c r="AK143" s="164">
        <v>21.55</v>
      </c>
      <c r="AL143" s="164">
        <v>0</v>
      </c>
      <c r="AM143" s="164">
        <v>0</v>
      </c>
      <c r="AN143" s="164">
        <v>0</v>
      </c>
      <c r="AO143" s="164">
        <v>0</v>
      </c>
      <c r="AP143" s="164">
        <v>0</v>
      </c>
      <c r="AQ143" s="164">
        <v>0</v>
      </c>
      <c r="AR143" s="164">
        <v>0</v>
      </c>
      <c r="AS143" s="164">
        <v>0</v>
      </c>
      <c r="AT143" s="164">
        <v>0</v>
      </c>
      <c r="AU143" s="164">
        <v>76.349999999999994</v>
      </c>
      <c r="AV143" s="164">
        <v>0</v>
      </c>
      <c r="AW143" s="164">
        <v>164.1</v>
      </c>
      <c r="AX143" s="164" t="s">
        <v>704</v>
      </c>
      <c r="AY143" s="164" t="s">
        <v>220</v>
      </c>
      <c r="AZ143" s="164" t="s">
        <v>220</v>
      </c>
      <c r="BA143" s="164">
        <v>164.1</v>
      </c>
      <c r="BB143" s="164" t="s">
        <v>449</v>
      </c>
    </row>
    <row r="144" spans="1:54">
      <c r="A144" s="164" t="s">
        <v>743</v>
      </c>
      <c r="B144" s="164" t="s">
        <v>744</v>
      </c>
      <c r="C144" s="164" t="s">
        <v>745</v>
      </c>
      <c r="D144" s="164" t="s">
        <v>50</v>
      </c>
      <c r="E144" s="164" t="s">
        <v>218</v>
      </c>
      <c r="F144" s="164" t="s">
        <v>219</v>
      </c>
      <c r="G144" s="164" t="s">
        <v>220</v>
      </c>
      <c r="H144" s="164" t="s">
        <v>221</v>
      </c>
      <c r="I144" s="164" t="s">
        <v>222</v>
      </c>
      <c r="J144" s="164" t="s">
        <v>220</v>
      </c>
      <c r="K144" s="164" t="s">
        <v>220</v>
      </c>
      <c r="L144" s="164" t="s">
        <v>220</v>
      </c>
      <c r="M144" s="164" t="s">
        <v>223</v>
      </c>
      <c r="N144" s="164" t="s">
        <v>93</v>
      </c>
      <c r="O144" s="164">
        <v>294</v>
      </c>
      <c r="P144" s="164">
        <v>0</v>
      </c>
      <c r="Q144" s="164">
        <v>0</v>
      </c>
      <c r="R144" s="164">
        <v>0</v>
      </c>
      <c r="S144" s="164">
        <v>0</v>
      </c>
      <c r="T144" s="164">
        <v>0</v>
      </c>
      <c r="U144" s="164">
        <v>0</v>
      </c>
      <c r="V144" s="164">
        <v>14.7</v>
      </c>
      <c r="W144" s="164">
        <v>308.7</v>
      </c>
      <c r="X144" s="164">
        <v>294</v>
      </c>
      <c r="Y144" s="164">
        <v>22</v>
      </c>
      <c r="Z144" s="164">
        <v>64.680000000000007</v>
      </c>
      <c r="AA144" s="164">
        <v>5.68</v>
      </c>
      <c r="AB144" s="164">
        <v>70.36</v>
      </c>
      <c r="AC144" s="164">
        <v>12.66</v>
      </c>
      <c r="AD144" s="164">
        <v>0</v>
      </c>
      <c r="AE144" s="164">
        <v>294</v>
      </c>
      <c r="AF144" s="164">
        <v>0</v>
      </c>
      <c r="AG144" s="164">
        <v>0</v>
      </c>
      <c r="AH144" s="164">
        <v>0.28999999999999998</v>
      </c>
      <c r="AI144" s="164">
        <v>14.7</v>
      </c>
      <c r="AJ144" s="164">
        <v>0</v>
      </c>
      <c r="AK144" s="164">
        <v>27.65</v>
      </c>
      <c r="AL144" s="164">
        <v>0</v>
      </c>
      <c r="AM144" s="164">
        <v>0</v>
      </c>
      <c r="AN144" s="164">
        <v>0</v>
      </c>
      <c r="AO144" s="164">
        <v>0</v>
      </c>
      <c r="AP144" s="164">
        <v>0</v>
      </c>
      <c r="AQ144" s="164">
        <v>0</v>
      </c>
      <c r="AR144" s="164">
        <v>0</v>
      </c>
      <c r="AS144" s="164">
        <v>0</v>
      </c>
      <c r="AT144" s="164">
        <v>0</v>
      </c>
      <c r="AU144" s="164">
        <v>98.01</v>
      </c>
      <c r="AV144" s="164">
        <v>0</v>
      </c>
      <c r="AW144" s="164">
        <v>210.69</v>
      </c>
      <c r="AX144" s="164" t="s">
        <v>704</v>
      </c>
      <c r="AY144" s="164" t="s">
        <v>220</v>
      </c>
      <c r="AZ144" s="164" t="s">
        <v>220</v>
      </c>
      <c r="BA144" s="164">
        <v>210.69</v>
      </c>
      <c r="BB144" s="164" t="s">
        <v>376</v>
      </c>
    </row>
    <row r="145" spans="1:54">
      <c r="A145" s="164" t="s">
        <v>746</v>
      </c>
      <c r="B145" s="164" t="s">
        <v>747</v>
      </c>
      <c r="C145" s="164" t="s">
        <v>748</v>
      </c>
      <c r="D145" s="164" t="s">
        <v>50</v>
      </c>
      <c r="E145" s="164" t="s">
        <v>218</v>
      </c>
      <c r="F145" s="164" t="s">
        <v>219</v>
      </c>
      <c r="G145" s="164" t="s">
        <v>220</v>
      </c>
      <c r="H145" s="164" t="s">
        <v>221</v>
      </c>
      <c r="I145" s="164" t="s">
        <v>222</v>
      </c>
      <c r="J145" s="164" t="s">
        <v>220</v>
      </c>
      <c r="K145" s="164" t="s">
        <v>220</v>
      </c>
      <c r="L145" s="164" t="s">
        <v>220</v>
      </c>
      <c r="M145" s="164" t="s">
        <v>223</v>
      </c>
      <c r="N145" s="164" t="s">
        <v>93</v>
      </c>
      <c r="O145" s="164">
        <v>513</v>
      </c>
      <c r="P145" s="164">
        <v>0</v>
      </c>
      <c r="Q145" s="164">
        <v>0</v>
      </c>
      <c r="R145" s="164">
        <v>0</v>
      </c>
      <c r="S145" s="164">
        <v>0</v>
      </c>
      <c r="T145" s="164">
        <v>0</v>
      </c>
      <c r="U145" s="164">
        <v>0</v>
      </c>
      <c r="V145" s="164">
        <v>25.65</v>
      </c>
      <c r="W145" s="164">
        <v>538.65</v>
      </c>
      <c r="X145" s="164">
        <v>513</v>
      </c>
      <c r="Y145" s="164">
        <v>22</v>
      </c>
      <c r="Z145" s="164">
        <v>112.86</v>
      </c>
      <c r="AA145" s="164">
        <v>9.91</v>
      </c>
      <c r="AB145" s="164">
        <v>122.77</v>
      </c>
      <c r="AC145" s="164">
        <v>22.09</v>
      </c>
      <c r="AD145" s="164">
        <v>0</v>
      </c>
      <c r="AE145" s="164">
        <v>513</v>
      </c>
      <c r="AF145" s="164">
        <v>0</v>
      </c>
      <c r="AG145" s="164">
        <v>0</v>
      </c>
      <c r="AH145" s="164">
        <v>0.51</v>
      </c>
      <c r="AI145" s="164">
        <v>25.65</v>
      </c>
      <c r="AJ145" s="164">
        <v>0</v>
      </c>
      <c r="AK145" s="164">
        <v>48.25</v>
      </c>
      <c r="AL145" s="164">
        <v>0</v>
      </c>
      <c r="AM145" s="164">
        <v>0</v>
      </c>
      <c r="AN145" s="164">
        <v>0</v>
      </c>
      <c r="AO145" s="164">
        <v>0</v>
      </c>
      <c r="AP145" s="164">
        <v>0</v>
      </c>
      <c r="AQ145" s="164">
        <v>0</v>
      </c>
      <c r="AR145" s="164">
        <v>0</v>
      </c>
      <c r="AS145" s="164">
        <v>0</v>
      </c>
      <c r="AT145" s="164">
        <v>0</v>
      </c>
      <c r="AU145" s="164">
        <v>171.02</v>
      </c>
      <c r="AV145" s="164">
        <v>0</v>
      </c>
      <c r="AW145" s="164">
        <v>367.63</v>
      </c>
      <c r="AX145" s="164" t="s">
        <v>704</v>
      </c>
      <c r="AY145" s="164" t="s">
        <v>220</v>
      </c>
      <c r="AZ145" s="164" t="s">
        <v>220</v>
      </c>
      <c r="BA145" s="164">
        <v>367.63</v>
      </c>
      <c r="BB145" s="164" t="s">
        <v>749</v>
      </c>
    </row>
    <row r="146" spans="1:54">
      <c r="A146" s="164" t="s">
        <v>750</v>
      </c>
      <c r="B146" s="164" t="s">
        <v>751</v>
      </c>
      <c r="C146" s="164" t="s">
        <v>752</v>
      </c>
      <c r="D146" s="164" t="s">
        <v>50</v>
      </c>
      <c r="E146" s="164" t="s">
        <v>218</v>
      </c>
      <c r="F146" s="164" t="s">
        <v>219</v>
      </c>
      <c r="G146" s="164" t="s">
        <v>220</v>
      </c>
      <c r="H146" s="164" t="s">
        <v>221</v>
      </c>
      <c r="I146" s="164" t="s">
        <v>222</v>
      </c>
      <c r="J146" s="164" t="s">
        <v>220</v>
      </c>
      <c r="K146" s="164" t="s">
        <v>220</v>
      </c>
      <c r="L146" s="164" t="s">
        <v>220</v>
      </c>
      <c r="M146" s="164" t="s">
        <v>223</v>
      </c>
      <c r="N146" s="164" t="s">
        <v>93</v>
      </c>
      <c r="O146" s="164">
        <v>360</v>
      </c>
      <c r="P146" s="164">
        <v>0</v>
      </c>
      <c r="Q146" s="164">
        <v>0</v>
      </c>
      <c r="R146" s="164">
        <v>0</v>
      </c>
      <c r="S146" s="164">
        <v>0</v>
      </c>
      <c r="T146" s="164">
        <v>0</v>
      </c>
      <c r="U146" s="164">
        <v>0</v>
      </c>
      <c r="V146" s="164">
        <v>18</v>
      </c>
      <c r="W146" s="164">
        <v>378</v>
      </c>
      <c r="X146" s="164">
        <v>360</v>
      </c>
      <c r="Y146" s="164">
        <v>22</v>
      </c>
      <c r="Z146" s="164">
        <v>79.2</v>
      </c>
      <c r="AA146" s="164">
        <v>6.96</v>
      </c>
      <c r="AB146" s="164">
        <v>86.16</v>
      </c>
      <c r="AC146" s="164">
        <v>15.51</v>
      </c>
      <c r="AD146" s="164">
        <v>0</v>
      </c>
      <c r="AE146" s="164">
        <v>360</v>
      </c>
      <c r="AF146" s="164">
        <v>0</v>
      </c>
      <c r="AG146" s="164">
        <v>0</v>
      </c>
      <c r="AH146" s="164">
        <v>0.36</v>
      </c>
      <c r="AI146" s="164">
        <v>18</v>
      </c>
      <c r="AJ146" s="164">
        <v>0</v>
      </c>
      <c r="AK146" s="164">
        <v>33.869999999999997</v>
      </c>
      <c r="AL146" s="164">
        <v>0</v>
      </c>
      <c r="AM146" s="164">
        <v>0</v>
      </c>
      <c r="AN146" s="164">
        <v>0</v>
      </c>
      <c r="AO146" s="164">
        <v>0</v>
      </c>
      <c r="AP146" s="164">
        <v>0</v>
      </c>
      <c r="AQ146" s="164">
        <v>0</v>
      </c>
      <c r="AR146" s="164">
        <v>0</v>
      </c>
      <c r="AS146" s="164">
        <v>0</v>
      </c>
      <c r="AT146" s="164">
        <v>0</v>
      </c>
      <c r="AU146" s="164">
        <v>120.03</v>
      </c>
      <c r="AV146" s="164">
        <v>0</v>
      </c>
      <c r="AW146" s="164">
        <v>257.97000000000003</v>
      </c>
      <c r="AX146" s="164" t="s">
        <v>704</v>
      </c>
      <c r="AY146" s="164" t="s">
        <v>220</v>
      </c>
      <c r="AZ146" s="164" t="s">
        <v>220</v>
      </c>
      <c r="BA146" s="164">
        <v>257.97000000000003</v>
      </c>
      <c r="BB146" s="164" t="s">
        <v>753</v>
      </c>
    </row>
    <row r="147" spans="1:54">
      <c r="A147" s="164" t="s">
        <v>754</v>
      </c>
      <c r="B147" s="164" t="s">
        <v>755</v>
      </c>
      <c r="C147" s="164" t="s">
        <v>756</v>
      </c>
      <c r="D147" s="164" t="s">
        <v>50</v>
      </c>
      <c r="E147" s="164" t="s">
        <v>218</v>
      </c>
      <c r="F147" s="164" t="s">
        <v>219</v>
      </c>
      <c r="G147" s="164" t="s">
        <v>220</v>
      </c>
      <c r="H147" s="164" t="s">
        <v>221</v>
      </c>
      <c r="I147" s="164" t="s">
        <v>222</v>
      </c>
      <c r="J147" s="164" t="s">
        <v>220</v>
      </c>
      <c r="K147" s="164" t="s">
        <v>220</v>
      </c>
      <c r="L147" s="164" t="s">
        <v>220</v>
      </c>
      <c r="M147" s="164" t="s">
        <v>223</v>
      </c>
      <c r="N147" s="164" t="s">
        <v>93</v>
      </c>
      <c r="O147" s="164">
        <v>199</v>
      </c>
      <c r="P147" s="164">
        <v>0</v>
      </c>
      <c r="Q147" s="164">
        <v>0</v>
      </c>
      <c r="R147" s="164">
        <v>0</v>
      </c>
      <c r="S147" s="164">
        <v>0</v>
      </c>
      <c r="T147" s="164">
        <v>0</v>
      </c>
      <c r="U147" s="164">
        <v>0</v>
      </c>
      <c r="V147" s="164">
        <v>9.9499999999999993</v>
      </c>
      <c r="W147" s="164">
        <v>208.95</v>
      </c>
      <c r="X147" s="164">
        <v>199</v>
      </c>
      <c r="Y147" s="164">
        <v>22</v>
      </c>
      <c r="Z147" s="164">
        <v>43.78</v>
      </c>
      <c r="AA147" s="164">
        <v>3.84</v>
      </c>
      <c r="AB147" s="164">
        <v>47.62</v>
      </c>
      <c r="AC147" s="164">
        <v>8.57</v>
      </c>
      <c r="AD147" s="164">
        <v>0</v>
      </c>
      <c r="AE147" s="164">
        <v>199</v>
      </c>
      <c r="AF147" s="164">
        <v>0</v>
      </c>
      <c r="AG147" s="164">
        <v>0</v>
      </c>
      <c r="AH147" s="164">
        <v>0.2</v>
      </c>
      <c r="AI147" s="164">
        <v>9.9499999999999993</v>
      </c>
      <c r="AJ147" s="164">
        <v>0</v>
      </c>
      <c r="AK147" s="164">
        <v>18.72</v>
      </c>
      <c r="AL147" s="164">
        <v>0</v>
      </c>
      <c r="AM147" s="164">
        <v>0</v>
      </c>
      <c r="AN147" s="164">
        <v>0</v>
      </c>
      <c r="AO147" s="164">
        <v>0</v>
      </c>
      <c r="AP147" s="164">
        <v>0</v>
      </c>
      <c r="AQ147" s="164">
        <v>0</v>
      </c>
      <c r="AR147" s="164">
        <v>0</v>
      </c>
      <c r="AS147" s="164">
        <v>0</v>
      </c>
      <c r="AT147" s="164">
        <v>0</v>
      </c>
      <c r="AU147" s="164">
        <v>66.34</v>
      </c>
      <c r="AV147" s="164">
        <v>0</v>
      </c>
      <c r="AW147" s="164">
        <v>142.61000000000001</v>
      </c>
      <c r="AX147" s="164" t="s">
        <v>704</v>
      </c>
      <c r="AY147" s="164" t="s">
        <v>220</v>
      </c>
      <c r="AZ147" s="164" t="s">
        <v>220</v>
      </c>
      <c r="BA147" s="164">
        <v>142.61000000000001</v>
      </c>
      <c r="BB147" s="164" t="s">
        <v>757</v>
      </c>
    </row>
    <row r="148" spans="1:54">
      <c r="A148" s="164" t="s">
        <v>758</v>
      </c>
      <c r="B148" s="164" t="s">
        <v>759</v>
      </c>
      <c r="C148" s="164" t="s">
        <v>760</v>
      </c>
      <c r="D148" s="164" t="s">
        <v>50</v>
      </c>
      <c r="E148" s="164" t="s">
        <v>218</v>
      </c>
      <c r="F148" s="164" t="s">
        <v>219</v>
      </c>
      <c r="G148" s="164" t="s">
        <v>220</v>
      </c>
      <c r="H148" s="164" t="s">
        <v>221</v>
      </c>
      <c r="I148" s="164" t="s">
        <v>222</v>
      </c>
      <c r="J148" s="164" t="s">
        <v>220</v>
      </c>
      <c r="K148" s="164" t="s">
        <v>220</v>
      </c>
      <c r="L148" s="164" t="s">
        <v>220</v>
      </c>
      <c r="M148" s="164" t="s">
        <v>223</v>
      </c>
      <c r="N148" s="164" t="s">
        <v>93</v>
      </c>
      <c r="O148" s="164">
        <v>395</v>
      </c>
      <c r="P148" s="164">
        <v>0</v>
      </c>
      <c r="Q148" s="164">
        <v>0</v>
      </c>
      <c r="R148" s="164">
        <v>0</v>
      </c>
      <c r="S148" s="164">
        <v>0</v>
      </c>
      <c r="T148" s="164">
        <v>0</v>
      </c>
      <c r="U148" s="164">
        <v>0</v>
      </c>
      <c r="V148" s="164">
        <v>19.75</v>
      </c>
      <c r="W148" s="164">
        <v>414.75</v>
      </c>
      <c r="X148" s="164">
        <v>395</v>
      </c>
      <c r="Y148" s="164">
        <v>22</v>
      </c>
      <c r="Z148" s="164">
        <v>86.9</v>
      </c>
      <c r="AA148" s="164">
        <v>7.63</v>
      </c>
      <c r="AB148" s="164">
        <v>94.53</v>
      </c>
      <c r="AC148" s="164">
        <v>17.010000000000002</v>
      </c>
      <c r="AD148" s="164">
        <v>0</v>
      </c>
      <c r="AE148" s="164">
        <v>395</v>
      </c>
      <c r="AF148" s="164">
        <v>0</v>
      </c>
      <c r="AG148" s="164">
        <v>0</v>
      </c>
      <c r="AH148" s="164">
        <v>0.4</v>
      </c>
      <c r="AI148" s="164">
        <v>19.75</v>
      </c>
      <c r="AJ148" s="164">
        <v>0</v>
      </c>
      <c r="AK148" s="164">
        <v>37.159999999999997</v>
      </c>
      <c r="AL148" s="164">
        <v>0</v>
      </c>
      <c r="AM148" s="164">
        <v>0</v>
      </c>
      <c r="AN148" s="164">
        <v>0</v>
      </c>
      <c r="AO148" s="164">
        <v>0</v>
      </c>
      <c r="AP148" s="164">
        <v>0</v>
      </c>
      <c r="AQ148" s="164">
        <v>0</v>
      </c>
      <c r="AR148" s="164">
        <v>0</v>
      </c>
      <c r="AS148" s="164">
        <v>0</v>
      </c>
      <c r="AT148" s="164">
        <v>0</v>
      </c>
      <c r="AU148" s="164">
        <v>131.69</v>
      </c>
      <c r="AV148" s="164">
        <v>0</v>
      </c>
      <c r="AW148" s="164">
        <v>283.06</v>
      </c>
      <c r="AX148" s="164" t="s">
        <v>704</v>
      </c>
      <c r="AY148" s="164" t="s">
        <v>220</v>
      </c>
      <c r="AZ148" s="164" t="s">
        <v>220</v>
      </c>
      <c r="BA148" s="164">
        <v>283.06</v>
      </c>
      <c r="BB148" s="164" t="s">
        <v>645</v>
      </c>
    </row>
    <row r="149" spans="1:54">
      <c r="A149" s="164" t="s">
        <v>761</v>
      </c>
      <c r="B149" s="164" t="s">
        <v>762</v>
      </c>
      <c r="C149" s="164" t="s">
        <v>763</v>
      </c>
      <c r="D149" s="164" t="s">
        <v>50</v>
      </c>
      <c r="E149" s="164" t="s">
        <v>218</v>
      </c>
      <c r="F149" s="164" t="s">
        <v>219</v>
      </c>
      <c r="G149" s="164" t="s">
        <v>220</v>
      </c>
      <c r="H149" s="164" t="s">
        <v>221</v>
      </c>
      <c r="I149" s="164" t="s">
        <v>222</v>
      </c>
      <c r="J149" s="164" t="s">
        <v>220</v>
      </c>
      <c r="K149" s="164" t="s">
        <v>220</v>
      </c>
      <c r="L149" s="164" t="s">
        <v>220</v>
      </c>
      <c r="M149" s="164" t="s">
        <v>223</v>
      </c>
      <c r="N149" s="164" t="s">
        <v>93</v>
      </c>
      <c r="O149" s="164">
        <v>294</v>
      </c>
      <c r="P149" s="164">
        <v>0</v>
      </c>
      <c r="Q149" s="164">
        <v>0</v>
      </c>
      <c r="R149" s="164">
        <v>0</v>
      </c>
      <c r="S149" s="164">
        <v>0</v>
      </c>
      <c r="T149" s="164">
        <v>0</v>
      </c>
      <c r="U149" s="164">
        <v>0</v>
      </c>
      <c r="V149" s="164">
        <v>14.7</v>
      </c>
      <c r="W149" s="164">
        <v>308.7</v>
      </c>
      <c r="X149" s="164">
        <v>294</v>
      </c>
      <c r="Y149" s="164">
        <v>22</v>
      </c>
      <c r="Z149" s="164">
        <v>64.680000000000007</v>
      </c>
      <c r="AA149" s="164">
        <v>5.68</v>
      </c>
      <c r="AB149" s="164">
        <v>70.36</v>
      </c>
      <c r="AC149" s="164">
        <v>12.66</v>
      </c>
      <c r="AD149" s="164">
        <v>0</v>
      </c>
      <c r="AE149" s="164">
        <v>294</v>
      </c>
      <c r="AF149" s="164">
        <v>0</v>
      </c>
      <c r="AG149" s="164">
        <v>0</v>
      </c>
      <c r="AH149" s="164">
        <v>0.28999999999999998</v>
      </c>
      <c r="AI149" s="164">
        <v>14.7</v>
      </c>
      <c r="AJ149" s="164">
        <v>0</v>
      </c>
      <c r="AK149" s="164">
        <v>27.65</v>
      </c>
      <c r="AL149" s="164">
        <v>0</v>
      </c>
      <c r="AM149" s="164">
        <v>0</v>
      </c>
      <c r="AN149" s="164">
        <v>0</v>
      </c>
      <c r="AO149" s="164">
        <v>0</v>
      </c>
      <c r="AP149" s="164">
        <v>0</v>
      </c>
      <c r="AQ149" s="164">
        <v>0</v>
      </c>
      <c r="AR149" s="164">
        <v>0</v>
      </c>
      <c r="AS149" s="164">
        <v>0</v>
      </c>
      <c r="AT149" s="164">
        <v>0</v>
      </c>
      <c r="AU149" s="164">
        <v>98.01</v>
      </c>
      <c r="AV149" s="164">
        <v>0</v>
      </c>
      <c r="AW149" s="164">
        <v>210.69</v>
      </c>
      <c r="AX149" s="164" t="s">
        <v>704</v>
      </c>
      <c r="AY149" s="164" t="s">
        <v>220</v>
      </c>
      <c r="AZ149" s="164" t="s">
        <v>220</v>
      </c>
      <c r="BA149" s="164">
        <v>210.69</v>
      </c>
      <c r="BB149" s="164" t="s">
        <v>764</v>
      </c>
    </row>
    <row r="150" spans="1:54">
      <c r="A150" s="164" t="s">
        <v>765</v>
      </c>
      <c r="B150" s="164" t="s">
        <v>766</v>
      </c>
      <c r="C150" s="164" t="s">
        <v>767</v>
      </c>
      <c r="D150" s="164" t="s">
        <v>50</v>
      </c>
      <c r="E150" s="164" t="s">
        <v>218</v>
      </c>
      <c r="F150" s="164" t="s">
        <v>219</v>
      </c>
      <c r="G150" s="164" t="s">
        <v>220</v>
      </c>
      <c r="H150" s="164" t="s">
        <v>221</v>
      </c>
      <c r="I150" s="164" t="s">
        <v>222</v>
      </c>
      <c r="J150" s="164" t="s">
        <v>220</v>
      </c>
      <c r="K150" s="164" t="s">
        <v>220</v>
      </c>
      <c r="L150" s="164" t="s">
        <v>220</v>
      </c>
      <c r="M150" s="164" t="s">
        <v>223</v>
      </c>
      <c r="N150" s="164" t="s">
        <v>93</v>
      </c>
      <c r="O150" s="164">
        <v>425</v>
      </c>
      <c r="P150" s="164">
        <v>0</v>
      </c>
      <c r="Q150" s="164">
        <v>0</v>
      </c>
      <c r="R150" s="164">
        <v>0</v>
      </c>
      <c r="S150" s="164">
        <v>0</v>
      </c>
      <c r="T150" s="164">
        <v>0</v>
      </c>
      <c r="U150" s="164">
        <v>0</v>
      </c>
      <c r="V150" s="164">
        <v>21.25</v>
      </c>
      <c r="W150" s="164">
        <v>446.25</v>
      </c>
      <c r="X150" s="164">
        <v>425</v>
      </c>
      <c r="Y150" s="164">
        <v>22</v>
      </c>
      <c r="Z150" s="164">
        <v>93.5</v>
      </c>
      <c r="AA150" s="164">
        <v>8.2100000000000009</v>
      </c>
      <c r="AB150" s="164">
        <v>101.71</v>
      </c>
      <c r="AC150" s="164">
        <v>18.309999999999999</v>
      </c>
      <c r="AD150" s="164">
        <v>0</v>
      </c>
      <c r="AE150" s="164">
        <v>425</v>
      </c>
      <c r="AF150" s="164">
        <v>0</v>
      </c>
      <c r="AG150" s="164">
        <v>0</v>
      </c>
      <c r="AH150" s="164">
        <v>0.42</v>
      </c>
      <c r="AI150" s="164">
        <v>21.25</v>
      </c>
      <c r="AJ150" s="164">
        <v>0</v>
      </c>
      <c r="AK150" s="164">
        <v>39.979999999999997</v>
      </c>
      <c r="AL150" s="164">
        <v>0</v>
      </c>
      <c r="AM150" s="164">
        <v>0</v>
      </c>
      <c r="AN150" s="164">
        <v>0</v>
      </c>
      <c r="AO150" s="164">
        <v>0</v>
      </c>
      <c r="AP150" s="164">
        <v>0</v>
      </c>
      <c r="AQ150" s="164">
        <v>0</v>
      </c>
      <c r="AR150" s="164">
        <v>0</v>
      </c>
      <c r="AS150" s="164">
        <v>0</v>
      </c>
      <c r="AT150" s="164">
        <v>0</v>
      </c>
      <c r="AU150" s="164">
        <v>141.69</v>
      </c>
      <c r="AV150" s="164">
        <v>0</v>
      </c>
      <c r="AW150" s="164">
        <v>304.56</v>
      </c>
      <c r="AX150" s="164" t="s">
        <v>704</v>
      </c>
      <c r="AY150" s="164" t="s">
        <v>220</v>
      </c>
      <c r="AZ150" s="164" t="s">
        <v>220</v>
      </c>
      <c r="BA150" s="164">
        <v>304.56</v>
      </c>
      <c r="BB150" s="164" t="s">
        <v>768</v>
      </c>
    </row>
    <row r="151" spans="1:54">
      <c r="A151" s="164" t="s">
        <v>769</v>
      </c>
      <c r="B151" s="164" t="s">
        <v>770</v>
      </c>
      <c r="C151" s="164" t="s">
        <v>771</v>
      </c>
      <c r="D151" s="164" t="s">
        <v>50</v>
      </c>
      <c r="E151" s="164" t="s">
        <v>218</v>
      </c>
      <c r="F151" s="164" t="s">
        <v>219</v>
      </c>
      <c r="G151" s="164" t="s">
        <v>220</v>
      </c>
      <c r="H151" s="164" t="s">
        <v>221</v>
      </c>
      <c r="I151" s="164" t="s">
        <v>222</v>
      </c>
      <c r="J151" s="164" t="s">
        <v>220</v>
      </c>
      <c r="K151" s="164" t="s">
        <v>220</v>
      </c>
      <c r="L151" s="164" t="s">
        <v>220</v>
      </c>
      <c r="M151" s="164" t="s">
        <v>223</v>
      </c>
      <c r="N151" s="164" t="s">
        <v>93</v>
      </c>
      <c r="O151" s="164">
        <v>730</v>
      </c>
      <c r="P151" s="164">
        <v>0</v>
      </c>
      <c r="Q151" s="164">
        <v>0</v>
      </c>
      <c r="R151" s="164">
        <v>0</v>
      </c>
      <c r="S151" s="164">
        <v>0</v>
      </c>
      <c r="T151" s="164">
        <v>0</v>
      </c>
      <c r="U151" s="164">
        <v>0</v>
      </c>
      <c r="V151" s="164">
        <v>36.5</v>
      </c>
      <c r="W151" s="164">
        <v>766.5</v>
      </c>
      <c r="X151" s="164">
        <v>730</v>
      </c>
      <c r="Y151" s="164">
        <v>22</v>
      </c>
      <c r="Z151" s="164">
        <v>160.6</v>
      </c>
      <c r="AA151" s="164">
        <v>14.1</v>
      </c>
      <c r="AB151" s="164">
        <v>174.7</v>
      </c>
      <c r="AC151" s="164">
        <v>31.45</v>
      </c>
      <c r="AD151" s="164">
        <v>0</v>
      </c>
      <c r="AE151" s="164">
        <v>730</v>
      </c>
      <c r="AF151" s="164">
        <v>0</v>
      </c>
      <c r="AG151" s="164">
        <v>0</v>
      </c>
      <c r="AH151" s="164">
        <v>0.73</v>
      </c>
      <c r="AI151" s="164">
        <v>36.5</v>
      </c>
      <c r="AJ151" s="164">
        <v>0</v>
      </c>
      <c r="AK151" s="164">
        <v>68.680000000000007</v>
      </c>
      <c r="AL151" s="164">
        <v>0</v>
      </c>
      <c r="AM151" s="164">
        <v>0</v>
      </c>
      <c r="AN151" s="164">
        <v>0</v>
      </c>
      <c r="AO151" s="164">
        <v>0</v>
      </c>
      <c r="AP151" s="164">
        <v>0</v>
      </c>
      <c r="AQ151" s="164">
        <v>0</v>
      </c>
      <c r="AR151" s="164">
        <v>0</v>
      </c>
      <c r="AS151" s="164">
        <v>0</v>
      </c>
      <c r="AT151" s="164">
        <v>0</v>
      </c>
      <c r="AU151" s="164">
        <v>243.38</v>
      </c>
      <c r="AV151" s="164">
        <v>0</v>
      </c>
      <c r="AW151" s="164">
        <v>523.12</v>
      </c>
      <c r="AX151" s="164" t="s">
        <v>704</v>
      </c>
      <c r="AY151" s="164" t="s">
        <v>220</v>
      </c>
      <c r="AZ151" s="164" t="s">
        <v>220</v>
      </c>
      <c r="BA151" s="164">
        <v>523.12</v>
      </c>
      <c r="BB151" s="164" t="s">
        <v>772</v>
      </c>
    </row>
    <row r="152" spans="1:54">
      <c r="A152" s="164" t="s">
        <v>773</v>
      </c>
      <c r="B152" s="164" t="s">
        <v>774</v>
      </c>
      <c r="C152" s="164" t="s">
        <v>775</v>
      </c>
      <c r="D152" s="164" t="s">
        <v>50</v>
      </c>
      <c r="E152" s="164" t="s">
        <v>218</v>
      </c>
      <c r="F152" s="164" t="s">
        <v>219</v>
      </c>
      <c r="G152" s="164" t="s">
        <v>220</v>
      </c>
      <c r="H152" s="164" t="s">
        <v>221</v>
      </c>
      <c r="I152" s="164" t="s">
        <v>222</v>
      </c>
      <c r="J152" s="164" t="s">
        <v>220</v>
      </c>
      <c r="K152" s="164" t="s">
        <v>220</v>
      </c>
      <c r="L152" s="164" t="s">
        <v>220</v>
      </c>
      <c r="M152" s="164" t="s">
        <v>223</v>
      </c>
      <c r="N152" s="164" t="s">
        <v>93</v>
      </c>
      <c r="O152" s="164">
        <v>273</v>
      </c>
      <c r="P152" s="164">
        <v>0</v>
      </c>
      <c r="Q152" s="164">
        <v>0</v>
      </c>
      <c r="R152" s="164">
        <v>0</v>
      </c>
      <c r="S152" s="164">
        <v>0</v>
      </c>
      <c r="T152" s="164">
        <v>0</v>
      </c>
      <c r="U152" s="164">
        <v>0</v>
      </c>
      <c r="V152" s="164">
        <v>13.65</v>
      </c>
      <c r="W152" s="164">
        <v>286.64999999999998</v>
      </c>
      <c r="X152" s="164">
        <v>273</v>
      </c>
      <c r="Y152" s="164">
        <v>22</v>
      </c>
      <c r="Z152" s="164">
        <v>60.06</v>
      </c>
      <c r="AA152" s="164">
        <v>5.27</v>
      </c>
      <c r="AB152" s="164">
        <v>65.33</v>
      </c>
      <c r="AC152" s="164">
        <v>11.76</v>
      </c>
      <c r="AD152" s="164">
        <v>0</v>
      </c>
      <c r="AE152" s="164">
        <v>273</v>
      </c>
      <c r="AF152" s="164">
        <v>0</v>
      </c>
      <c r="AG152" s="164">
        <v>0</v>
      </c>
      <c r="AH152" s="164">
        <v>0.27</v>
      </c>
      <c r="AI152" s="164">
        <v>13.65</v>
      </c>
      <c r="AJ152" s="164">
        <v>0</v>
      </c>
      <c r="AK152" s="164">
        <v>25.68</v>
      </c>
      <c r="AL152" s="164">
        <v>0</v>
      </c>
      <c r="AM152" s="164">
        <v>0</v>
      </c>
      <c r="AN152" s="164">
        <v>0</v>
      </c>
      <c r="AO152" s="164">
        <v>0</v>
      </c>
      <c r="AP152" s="164">
        <v>0</v>
      </c>
      <c r="AQ152" s="164">
        <v>0</v>
      </c>
      <c r="AR152" s="164">
        <v>0</v>
      </c>
      <c r="AS152" s="164">
        <v>0</v>
      </c>
      <c r="AT152" s="164">
        <v>0</v>
      </c>
      <c r="AU152" s="164">
        <v>91.01</v>
      </c>
      <c r="AV152" s="164">
        <v>0</v>
      </c>
      <c r="AW152" s="164">
        <v>195.64</v>
      </c>
      <c r="AX152" s="164" t="s">
        <v>704</v>
      </c>
      <c r="AY152" s="164" t="s">
        <v>220</v>
      </c>
      <c r="AZ152" s="164" t="s">
        <v>220</v>
      </c>
      <c r="BA152" s="164">
        <v>195.64</v>
      </c>
      <c r="BB152" s="164" t="s">
        <v>776</v>
      </c>
    </row>
    <row r="153" spans="1:54">
      <c r="A153" s="164" t="s">
        <v>777</v>
      </c>
      <c r="B153" s="164" t="s">
        <v>778</v>
      </c>
      <c r="C153" s="164" t="s">
        <v>779</v>
      </c>
      <c r="D153" s="164" t="s">
        <v>50</v>
      </c>
      <c r="E153" s="164" t="s">
        <v>218</v>
      </c>
      <c r="F153" s="164" t="s">
        <v>219</v>
      </c>
      <c r="G153" s="164" t="s">
        <v>220</v>
      </c>
      <c r="H153" s="164" t="s">
        <v>221</v>
      </c>
      <c r="I153" s="164" t="s">
        <v>222</v>
      </c>
      <c r="J153" s="164" t="s">
        <v>220</v>
      </c>
      <c r="K153" s="164" t="s">
        <v>220</v>
      </c>
      <c r="L153" s="164" t="s">
        <v>220</v>
      </c>
      <c r="M153" s="164" t="s">
        <v>223</v>
      </c>
      <c r="N153" s="164" t="s">
        <v>93</v>
      </c>
      <c r="O153" s="164">
        <v>425</v>
      </c>
      <c r="P153" s="164">
        <v>0</v>
      </c>
      <c r="Q153" s="164">
        <v>0</v>
      </c>
      <c r="R153" s="164">
        <v>0</v>
      </c>
      <c r="S153" s="164">
        <v>0</v>
      </c>
      <c r="T153" s="164">
        <v>0</v>
      </c>
      <c r="U153" s="164">
        <v>0</v>
      </c>
      <c r="V153" s="164">
        <v>21.25</v>
      </c>
      <c r="W153" s="164">
        <v>446.25</v>
      </c>
      <c r="X153" s="164">
        <v>425</v>
      </c>
      <c r="Y153" s="164">
        <v>22</v>
      </c>
      <c r="Z153" s="164">
        <v>93.5</v>
      </c>
      <c r="AA153" s="164">
        <v>8.2100000000000009</v>
      </c>
      <c r="AB153" s="164">
        <v>101.71</v>
      </c>
      <c r="AC153" s="164">
        <v>18.309999999999999</v>
      </c>
      <c r="AD153" s="164">
        <v>0</v>
      </c>
      <c r="AE153" s="164">
        <v>425</v>
      </c>
      <c r="AF153" s="164">
        <v>0</v>
      </c>
      <c r="AG153" s="164">
        <v>0</v>
      </c>
      <c r="AH153" s="164">
        <v>0.42</v>
      </c>
      <c r="AI153" s="164">
        <v>21.25</v>
      </c>
      <c r="AJ153" s="164">
        <v>0</v>
      </c>
      <c r="AK153" s="164">
        <v>39.979999999999997</v>
      </c>
      <c r="AL153" s="164">
        <v>0</v>
      </c>
      <c r="AM153" s="164">
        <v>0</v>
      </c>
      <c r="AN153" s="164">
        <v>0</v>
      </c>
      <c r="AO153" s="164">
        <v>0</v>
      </c>
      <c r="AP153" s="164">
        <v>0</v>
      </c>
      <c r="AQ153" s="164">
        <v>0</v>
      </c>
      <c r="AR153" s="164">
        <v>0</v>
      </c>
      <c r="AS153" s="164">
        <v>0</v>
      </c>
      <c r="AT153" s="164">
        <v>0</v>
      </c>
      <c r="AU153" s="164">
        <v>141.69</v>
      </c>
      <c r="AV153" s="164">
        <v>0</v>
      </c>
      <c r="AW153" s="164">
        <v>304.56</v>
      </c>
      <c r="AX153" s="164" t="s">
        <v>704</v>
      </c>
      <c r="AY153" s="164" t="s">
        <v>220</v>
      </c>
      <c r="AZ153" s="164" t="s">
        <v>220</v>
      </c>
      <c r="BA153" s="164">
        <v>304.56</v>
      </c>
      <c r="BB153" s="164" t="s">
        <v>780</v>
      </c>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985E9"/>
    <outlinePr summaryBelow="0" summaryRight="0"/>
  </sheetPr>
  <dimension ref="A1:Z21"/>
  <sheetViews>
    <sheetView showGridLines="0" workbookViewId="0"/>
  </sheetViews>
  <sheetFormatPr defaultColWidth="12.59765625" defaultRowHeight="15" customHeight="1"/>
  <cols>
    <col min="1" max="1" width="1.59765625" customWidth="1"/>
    <col min="2" max="2" width="39.59765625" customWidth="1"/>
    <col min="3" max="3" width="31.59765625" customWidth="1"/>
    <col min="4" max="4" width="20.8984375" customWidth="1"/>
    <col min="5" max="5" width="32.09765625" customWidth="1"/>
    <col min="6" max="6" width="18.3984375" customWidth="1"/>
    <col min="7" max="7" width="13.5" customWidth="1"/>
    <col min="8" max="8" width="17.5" customWidth="1"/>
    <col min="9" max="9" width="19.5" customWidth="1"/>
    <col min="10" max="11" width="12.59765625" customWidth="1"/>
  </cols>
  <sheetData>
    <row r="1" spans="1:26" ht="15" customHeight="1">
      <c r="A1" s="132"/>
      <c r="B1" s="188" t="s">
        <v>151</v>
      </c>
      <c r="C1" s="189"/>
      <c r="D1" s="189"/>
      <c r="E1" s="189"/>
      <c r="F1" s="189"/>
      <c r="G1" s="189"/>
      <c r="H1" s="189"/>
      <c r="I1" s="190"/>
      <c r="J1" s="42"/>
      <c r="K1" s="42"/>
      <c r="L1" s="42"/>
      <c r="M1" s="42"/>
      <c r="N1" s="42"/>
      <c r="O1" s="42"/>
      <c r="P1" s="42"/>
      <c r="Q1" s="42"/>
      <c r="R1" s="42"/>
      <c r="S1" s="42"/>
      <c r="T1" s="42"/>
      <c r="U1" s="42"/>
      <c r="V1" s="42"/>
      <c r="W1" s="42"/>
      <c r="X1" s="42"/>
      <c r="Y1" s="42"/>
      <c r="Z1" s="42"/>
    </row>
    <row r="2" spans="1:26" ht="15" customHeight="1">
      <c r="A2" s="133"/>
      <c r="B2" s="134" t="str">
        <f>Summary!C28</f>
        <v xml:space="preserve">Summarized view on :
1. Res id level additions like 194 H, etc
2. Res id level deductions like pay later, etc </v>
      </c>
      <c r="C2" s="135"/>
      <c r="D2" s="136"/>
      <c r="E2" s="137"/>
      <c r="F2" s="137"/>
      <c r="G2" s="138"/>
      <c r="H2" s="139"/>
      <c r="I2" s="140"/>
      <c r="J2" s="42"/>
      <c r="K2" s="42"/>
      <c r="L2" s="42"/>
      <c r="M2" s="42"/>
      <c r="N2" s="42"/>
      <c r="O2" s="42"/>
      <c r="P2" s="42"/>
      <c r="Q2" s="42"/>
      <c r="R2" s="42"/>
      <c r="S2" s="42"/>
      <c r="T2" s="42"/>
      <c r="U2" s="42"/>
      <c r="V2" s="42"/>
      <c r="W2" s="42"/>
      <c r="X2" s="42"/>
      <c r="Y2" s="42"/>
      <c r="Z2" s="42"/>
    </row>
    <row r="5" spans="1:26" ht="15" customHeight="1">
      <c r="B5" s="191" t="s">
        <v>781</v>
      </c>
      <c r="C5" s="185"/>
      <c r="D5" s="185"/>
      <c r="E5" s="185"/>
      <c r="F5" s="185"/>
      <c r="G5" s="185"/>
      <c r="H5" s="185"/>
      <c r="I5" s="185"/>
    </row>
    <row r="6" spans="1:26">
      <c r="B6" s="166" t="s">
        <v>782</v>
      </c>
      <c r="C6" s="162" t="s">
        <v>220</v>
      </c>
      <c r="D6" s="162" t="s">
        <v>783</v>
      </c>
      <c r="E6" s="162" t="s">
        <v>784</v>
      </c>
      <c r="F6" s="162" t="s">
        <v>146</v>
      </c>
      <c r="G6" s="162" t="s">
        <v>785</v>
      </c>
      <c r="H6" s="162" t="s">
        <v>786</v>
      </c>
      <c r="I6" s="167" t="s">
        <v>787</v>
      </c>
    </row>
    <row r="7" spans="1:26" ht="15" customHeight="1">
      <c r="B7" s="168" t="s">
        <v>788</v>
      </c>
      <c r="C7" s="163" t="s">
        <v>789</v>
      </c>
      <c r="D7" s="163" t="s">
        <v>789</v>
      </c>
      <c r="E7" s="163" t="s">
        <v>789</v>
      </c>
      <c r="F7" s="163" t="s">
        <v>789</v>
      </c>
      <c r="G7" s="163">
        <v>0</v>
      </c>
      <c r="H7" s="163">
        <v>0</v>
      </c>
      <c r="I7" s="169">
        <v>0</v>
      </c>
    </row>
    <row r="10" spans="1:26" ht="15" customHeight="1">
      <c r="B10" s="191" t="s">
        <v>790</v>
      </c>
      <c r="C10" s="185"/>
      <c r="D10" s="185"/>
      <c r="E10" s="185"/>
      <c r="F10" s="185"/>
      <c r="G10" s="185"/>
      <c r="H10" s="185"/>
      <c r="I10" s="185"/>
    </row>
    <row r="11" spans="1:26" ht="15" customHeight="1">
      <c r="B11" s="192" t="s">
        <v>791</v>
      </c>
      <c r="C11" s="185"/>
      <c r="D11" s="185"/>
      <c r="E11" s="185"/>
      <c r="F11" s="185"/>
      <c r="G11" s="185"/>
      <c r="H11" s="185"/>
      <c r="I11" s="185"/>
    </row>
    <row r="12" spans="1:26">
      <c r="B12" s="171" t="s">
        <v>782</v>
      </c>
      <c r="C12" s="170" t="s">
        <v>792</v>
      </c>
      <c r="D12" s="170" t="s">
        <v>793</v>
      </c>
      <c r="E12" s="170" t="s">
        <v>794</v>
      </c>
      <c r="F12" s="170" t="s">
        <v>795</v>
      </c>
      <c r="G12" s="170" t="s">
        <v>785</v>
      </c>
      <c r="H12" s="170" t="s">
        <v>786</v>
      </c>
      <c r="I12" s="172" t="s">
        <v>787</v>
      </c>
    </row>
    <row r="13" spans="1:26">
      <c r="B13" s="173" t="s">
        <v>796</v>
      </c>
      <c r="G13" s="165">
        <v>0</v>
      </c>
      <c r="H13" s="165">
        <v>0</v>
      </c>
      <c r="I13" s="174">
        <v>0</v>
      </c>
    </row>
    <row r="14" spans="1:26">
      <c r="B14" s="173" t="s">
        <v>789</v>
      </c>
      <c r="C14" s="164" t="s">
        <v>789</v>
      </c>
      <c r="D14" s="164" t="s">
        <v>789</v>
      </c>
      <c r="E14" s="164" t="s">
        <v>789</v>
      </c>
      <c r="F14" s="164" t="s">
        <v>789</v>
      </c>
      <c r="G14" s="164" t="s">
        <v>789</v>
      </c>
      <c r="H14" s="164" t="s">
        <v>789</v>
      </c>
      <c r="I14" s="174" t="s">
        <v>789</v>
      </c>
    </row>
    <row r="15" spans="1:26" ht="15" customHeight="1">
      <c r="B15" s="192" t="s">
        <v>797</v>
      </c>
      <c r="C15" s="185"/>
      <c r="D15" s="185"/>
      <c r="E15" s="185"/>
      <c r="F15" s="185"/>
      <c r="G15" s="185"/>
      <c r="H15" s="185"/>
      <c r="I15" s="185"/>
    </row>
    <row r="16" spans="1:26">
      <c r="B16" s="171" t="s">
        <v>782</v>
      </c>
      <c r="C16" s="170" t="s">
        <v>792</v>
      </c>
      <c r="D16" s="170" t="s">
        <v>798</v>
      </c>
      <c r="E16" s="170" t="s">
        <v>794</v>
      </c>
      <c r="F16" s="170" t="s">
        <v>795</v>
      </c>
      <c r="G16" s="170" t="s">
        <v>785</v>
      </c>
      <c r="H16" s="170" t="s">
        <v>786</v>
      </c>
      <c r="I16" s="172" t="s">
        <v>787</v>
      </c>
    </row>
    <row r="17" spans="2:9">
      <c r="B17" s="173" t="s">
        <v>799</v>
      </c>
      <c r="G17" s="165">
        <v>0</v>
      </c>
      <c r="H17" s="165">
        <v>0</v>
      </c>
      <c r="I17" s="174">
        <v>0</v>
      </c>
    </row>
    <row r="18" spans="2:9">
      <c r="B18" s="173" t="s">
        <v>789</v>
      </c>
      <c r="C18" s="164" t="s">
        <v>789</v>
      </c>
      <c r="D18" s="164" t="s">
        <v>789</v>
      </c>
      <c r="E18" s="164" t="s">
        <v>789</v>
      </c>
      <c r="F18" s="164" t="s">
        <v>789</v>
      </c>
      <c r="G18" s="164" t="s">
        <v>789</v>
      </c>
      <c r="H18" s="164" t="s">
        <v>789</v>
      </c>
      <c r="I18" s="174" t="s">
        <v>789</v>
      </c>
    </row>
    <row r="19" spans="2:9" ht="15" customHeight="1">
      <c r="B19" s="192" t="s">
        <v>800</v>
      </c>
      <c r="C19" s="185"/>
      <c r="D19" s="185"/>
      <c r="E19" s="185"/>
      <c r="F19" s="185"/>
      <c r="G19" s="185"/>
      <c r="H19" s="185"/>
      <c r="I19" s="185"/>
    </row>
    <row r="20" spans="2:9" ht="15" customHeight="1">
      <c r="B20" s="192" t="s">
        <v>801</v>
      </c>
      <c r="C20" s="185"/>
      <c r="D20" s="185"/>
      <c r="E20" s="185"/>
      <c r="F20" s="185"/>
      <c r="G20" s="185"/>
      <c r="H20" s="185"/>
      <c r="I20" s="185"/>
    </row>
    <row r="21" spans="2:9" ht="15" customHeight="1">
      <c r="B21" s="175" t="s">
        <v>802</v>
      </c>
      <c r="C21" s="163" t="s">
        <v>789</v>
      </c>
      <c r="D21" s="163" t="s">
        <v>789</v>
      </c>
      <c r="E21" s="163" t="s">
        <v>789</v>
      </c>
      <c r="F21" s="163" t="s">
        <v>789</v>
      </c>
      <c r="G21" s="163">
        <v>0</v>
      </c>
      <c r="H21" s="163">
        <v>0</v>
      </c>
      <c r="I21" s="169">
        <v>0</v>
      </c>
    </row>
  </sheetData>
  <mergeCells count="7">
    <mergeCell ref="B19:I19"/>
    <mergeCell ref="B20:I20"/>
    <mergeCell ref="B1:I1"/>
    <mergeCell ref="B5:I5"/>
    <mergeCell ref="B10:I10"/>
    <mergeCell ref="B11:I11"/>
    <mergeCell ref="B15:I15"/>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985E9"/>
    <outlinePr summaryBelow="0" summaryRight="0"/>
  </sheetPr>
  <dimension ref="A1:Z1000"/>
  <sheetViews>
    <sheetView showGridLines="0" workbookViewId="0"/>
  </sheetViews>
  <sheetFormatPr defaultColWidth="12.59765625" defaultRowHeight="15" customHeight="1"/>
  <cols>
    <col min="1" max="1" width="3.3984375" customWidth="1"/>
    <col min="2" max="2" width="8.59765625" hidden="1" customWidth="1"/>
    <col min="3" max="3" width="71" customWidth="1"/>
    <col min="4" max="4" width="12.59765625" customWidth="1"/>
    <col min="5" max="5" width="25.59765625" customWidth="1"/>
    <col min="6" max="6" width="12.59765625" customWidth="1"/>
  </cols>
  <sheetData>
    <row r="1" spans="1:26" ht="29.25" customHeight="1">
      <c r="A1" s="3"/>
      <c r="B1" s="141"/>
      <c r="C1" s="193" t="s">
        <v>152</v>
      </c>
      <c r="D1" s="189"/>
      <c r="E1" s="189"/>
      <c r="F1" s="189"/>
      <c r="G1" s="189"/>
      <c r="H1" s="190"/>
      <c r="I1" s="3"/>
      <c r="J1" s="3"/>
      <c r="K1" s="3"/>
      <c r="L1" s="3"/>
      <c r="M1" s="3"/>
      <c r="N1" s="3"/>
      <c r="O1" s="3"/>
      <c r="P1" s="3"/>
      <c r="Q1" s="3"/>
      <c r="R1" s="3"/>
      <c r="S1" s="3"/>
      <c r="T1" s="3"/>
      <c r="U1" s="3"/>
      <c r="V1" s="3"/>
      <c r="W1" s="3"/>
      <c r="X1" s="3"/>
      <c r="Y1" s="3"/>
      <c r="Z1" s="3"/>
    </row>
    <row r="2" spans="1:26" ht="16.5" customHeight="1">
      <c r="A2" s="3"/>
      <c r="B2" s="141"/>
      <c r="C2" s="142" t="str">
        <f>Summary!C29</f>
        <v>View of the different discounts running on your restaurant during this report period</v>
      </c>
      <c r="D2" s="143"/>
      <c r="E2" s="143"/>
      <c r="F2" s="143"/>
      <c r="G2" s="143"/>
      <c r="H2" s="144"/>
      <c r="I2" s="3"/>
      <c r="J2" s="3"/>
      <c r="K2" s="3"/>
      <c r="L2" s="3"/>
      <c r="M2" s="3"/>
      <c r="N2" s="3"/>
      <c r="O2" s="3"/>
      <c r="P2" s="3"/>
      <c r="Q2" s="3"/>
      <c r="R2" s="3"/>
      <c r="S2" s="3"/>
      <c r="T2" s="3"/>
      <c r="U2" s="3"/>
      <c r="V2" s="3"/>
      <c r="W2" s="3"/>
      <c r="X2" s="3"/>
      <c r="Y2" s="3"/>
      <c r="Z2" s="3"/>
    </row>
    <row r="3" spans="1:26" ht="12" customHeight="1">
      <c r="A3" s="3"/>
      <c r="B3" s="141"/>
      <c r="C3" s="145"/>
      <c r="D3" s="143"/>
      <c r="E3" s="143"/>
      <c r="F3" s="143"/>
      <c r="G3" s="143"/>
      <c r="H3" s="144"/>
      <c r="I3" s="3"/>
      <c r="J3" s="3"/>
      <c r="K3" s="3"/>
      <c r="L3" s="3"/>
      <c r="M3" s="3"/>
      <c r="N3" s="3"/>
      <c r="O3" s="3"/>
      <c r="P3" s="3"/>
      <c r="Q3" s="3"/>
      <c r="R3" s="3"/>
      <c r="S3" s="3"/>
      <c r="T3" s="3"/>
      <c r="U3" s="3"/>
      <c r="V3" s="3"/>
      <c r="W3" s="3"/>
      <c r="X3" s="3"/>
      <c r="Y3" s="3"/>
      <c r="Z3" s="3"/>
    </row>
    <row r="4" spans="1:26" ht="33.75" customHeight="1">
      <c r="A4" s="3"/>
      <c r="B4" s="141"/>
      <c r="C4" s="146" t="s">
        <v>105</v>
      </c>
      <c r="D4" s="147" t="s">
        <v>153</v>
      </c>
      <c r="E4" s="148" t="str">
        <f>'Order Level'!O1</f>
        <v>Subtotal (items total)</v>
      </c>
      <c r="F4" s="147" t="s">
        <v>154</v>
      </c>
      <c r="G4" s="147" t="s">
        <v>155</v>
      </c>
      <c r="H4" s="147" t="s">
        <v>156</v>
      </c>
      <c r="I4" s="3"/>
      <c r="J4" s="3"/>
      <c r="K4" s="3"/>
      <c r="L4" s="3"/>
      <c r="M4" s="3"/>
      <c r="N4" s="3"/>
      <c r="O4" s="3"/>
      <c r="P4" s="3"/>
      <c r="Q4" s="3"/>
      <c r="R4" s="3"/>
      <c r="S4" s="3"/>
      <c r="T4" s="3"/>
      <c r="U4" s="3"/>
      <c r="V4" s="3"/>
      <c r="W4" s="3"/>
      <c r="X4" s="3"/>
      <c r="Y4" s="3"/>
      <c r="Z4" s="3"/>
    </row>
    <row r="5" spans="1:26">
      <c r="A5" s="3"/>
      <c r="B5" s="3"/>
      <c r="C5" s="149" t="e">
        <f t="array" aca="1" ref="C5" ca="1">_xludf.UNIQUE('Order Level'!G3:G1026746)</f>
        <v>#NAME?</v>
      </c>
      <c r="D5" s="150" t="str">
        <f ca="1">IF(COUNTIFS('Order Level'!$I:$I,"delivered",'Order Level'!$G:$G,'Discounts Summary'!$C5)=0,"",COUNTIFS('Order Level'!$I:$I,"delivered",'Order Level'!$G:$G,'Discounts Summary'!$C5))</f>
        <v/>
      </c>
      <c r="E5" s="151" t="str">
        <f ca="1">IF(SUMIFS('Order Level'!$O:$O,'Order Level'!$I:$I,"Delivered",'Order Level'!$G:$G,'Discounts Summary'!$C5)=0,"",SUMIFS('Order Level'!$O:$O,'Order Level'!$I:$I,"Delivered",'Order Level'!$G:$G,'Discounts Summary'!$C5))</f>
        <v/>
      </c>
      <c r="F5" s="151" t="str">
        <f ca="1">IF(SUMIF('Order Level'!$G:$G,$C5,'Order Level'!R:R)=0,"",SUMIF('Order Level'!$G:$G,$C5,'Order Level'!R:R))</f>
        <v/>
      </c>
      <c r="G5" s="151" t="str">
        <f t="shared" ref="G5:G48" ca="1" si="0">IFERROR(F5/D5,"")</f>
        <v/>
      </c>
      <c r="H5" s="152" t="str">
        <f t="shared" ref="H5:H48" ca="1" si="1">IFERROR(F5/E5,"")</f>
        <v/>
      </c>
      <c r="I5" s="3"/>
      <c r="J5" s="3"/>
      <c r="K5" s="3"/>
      <c r="L5" s="3"/>
      <c r="M5" s="3"/>
      <c r="N5" s="3"/>
      <c r="O5" s="3"/>
      <c r="P5" s="3"/>
      <c r="Q5" s="3"/>
      <c r="R5" s="3"/>
      <c r="S5" s="3"/>
      <c r="T5" s="3"/>
      <c r="U5" s="3"/>
      <c r="V5" s="3"/>
      <c r="W5" s="3"/>
      <c r="X5" s="3"/>
      <c r="Y5" s="3"/>
      <c r="Z5" s="3"/>
    </row>
    <row r="6" spans="1:26">
      <c r="A6" s="3"/>
      <c r="B6" s="3"/>
      <c r="C6" s="149"/>
      <c r="D6" s="150" t="str">
        <f>IF(COUNTIFS('Order Level'!$I:$I,"delivered",'Order Level'!$G:$G,'Discounts Summary'!$C6)=0,"",COUNTIFS('Order Level'!$I:$I,"delivered",'Order Level'!$G:$G,'Discounts Summary'!$C6))</f>
        <v/>
      </c>
      <c r="E6" s="151" t="str">
        <f>IF(SUMIFS('Order Level'!$O:$O,'Order Level'!$I:$I,"Delivered",'Order Level'!$G:$G,'Discounts Summary'!$C6)=0,"",SUMIFS('Order Level'!$O:$O,'Order Level'!$I:$I,"Delivered",'Order Level'!$G:$G,'Discounts Summary'!$C6))</f>
        <v/>
      </c>
      <c r="F6" s="151" t="str">
        <f>IF(SUMIF('Order Level'!$G:$G,$C6,'Order Level'!R:R)=0,"",SUMIF('Order Level'!$G:$G,$C6,'Order Level'!R:R))</f>
        <v/>
      </c>
      <c r="G6" s="151" t="str">
        <f t="shared" si="0"/>
        <v/>
      </c>
      <c r="H6" s="152" t="str">
        <f t="shared" si="1"/>
        <v/>
      </c>
      <c r="I6" s="3"/>
      <c r="J6" s="3"/>
      <c r="K6" s="3"/>
      <c r="L6" s="3"/>
      <c r="M6" s="3"/>
      <c r="N6" s="3"/>
      <c r="O6" s="3"/>
      <c r="P6" s="3"/>
      <c r="Q6" s="3"/>
      <c r="R6" s="3"/>
      <c r="S6" s="3"/>
      <c r="T6" s="3"/>
      <c r="U6" s="3"/>
      <c r="V6" s="3"/>
      <c r="W6" s="3"/>
      <c r="X6" s="3"/>
      <c r="Y6" s="3"/>
      <c r="Z6" s="3"/>
    </row>
    <row r="7" spans="1:26">
      <c r="A7" s="3"/>
      <c r="B7" s="3"/>
      <c r="C7" s="149"/>
      <c r="D7" s="150" t="str">
        <f>IF(COUNTIFS('Order Level'!$I:$I,"delivered",'Order Level'!$G:$G,'Discounts Summary'!$C7)=0,"",COUNTIFS('Order Level'!$I:$I,"delivered",'Order Level'!$G:$G,'Discounts Summary'!$C7))</f>
        <v/>
      </c>
      <c r="E7" s="151" t="str">
        <f>IF(SUMIFS('Order Level'!$O:$O,'Order Level'!$I:$I,"Delivered",'Order Level'!$G:$G,'Discounts Summary'!$C7)=0,"",SUMIFS('Order Level'!$O:$O,'Order Level'!$I:$I,"Delivered",'Order Level'!$G:$G,'Discounts Summary'!$C7))</f>
        <v/>
      </c>
      <c r="F7" s="151" t="str">
        <f>IF(SUMIF('Order Level'!$G:$G,$C7,'Order Level'!R:R)=0,"",SUMIF('Order Level'!$G:$G,$C7,'Order Level'!R:R))</f>
        <v/>
      </c>
      <c r="G7" s="151" t="str">
        <f t="shared" si="0"/>
        <v/>
      </c>
      <c r="H7" s="152" t="str">
        <f t="shared" si="1"/>
        <v/>
      </c>
      <c r="I7" s="3"/>
      <c r="J7" s="3"/>
      <c r="K7" s="3"/>
      <c r="L7" s="3"/>
      <c r="M7" s="3"/>
      <c r="N7" s="3"/>
      <c r="O7" s="3"/>
      <c r="P7" s="3"/>
      <c r="Q7" s="3"/>
      <c r="R7" s="3"/>
      <c r="S7" s="3"/>
      <c r="T7" s="3"/>
      <c r="U7" s="3"/>
      <c r="V7" s="3"/>
      <c r="W7" s="3"/>
      <c r="X7" s="3"/>
      <c r="Y7" s="3"/>
      <c r="Z7" s="3"/>
    </row>
    <row r="8" spans="1:26">
      <c r="A8" s="3"/>
      <c r="B8" s="3"/>
      <c r="C8" s="149"/>
      <c r="D8" s="150" t="str">
        <f>IF(COUNTIFS('Order Level'!$I:$I,"delivered",'Order Level'!$G:$G,'Discounts Summary'!$C8)=0,"",COUNTIFS('Order Level'!$I:$I,"delivered",'Order Level'!$G:$G,'Discounts Summary'!$C8))</f>
        <v/>
      </c>
      <c r="E8" s="151" t="str">
        <f>IF(SUMIFS('Order Level'!$O:$O,'Order Level'!$I:$I,"Delivered",'Order Level'!$G:$G,'Discounts Summary'!$C8)=0,"",SUMIFS('Order Level'!$O:$O,'Order Level'!$I:$I,"Delivered",'Order Level'!$G:$G,'Discounts Summary'!$C8))</f>
        <v/>
      </c>
      <c r="F8" s="151" t="str">
        <f>IF(SUMIF('Order Level'!$G:$G,$C8,'Order Level'!R:R)=0,"",SUMIF('Order Level'!$G:$G,$C8,'Order Level'!R:R))</f>
        <v/>
      </c>
      <c r="G8" s="151" t="str">
        <f t="shared" si="0"/>
        <v/>
      </c>
      <c r="H8" s="152" t="str">
        <f t="shared" si="1"/>
        <v/>
      </c>
      <c r="I8" s="3"/>
      <c r="J8" s="3"/>
      <c r="K8" s="3"/>
      <c r="L8" s="3"/>
      <c r="M8" s="3"/>
      <c r="N8" s="3"/>
      <c r="O8" s="3"/>
      <c r="P8" s="3"/>
      <c r="Q8" s="3"/>
      <c r="R8" s="3"/>
      <c r="S8" s="3"/>
      <c r="T8" s="3"/>
      <c r="U8" s="3"/>
      <c r="V8" s="3"/>
      <c r="W8" s="3"/>
      <c r="X8" s="3"/>
      <c r="Y8" s="3"/>
      <c r="Z8" s="3"/>
    </row>
    <row r="9" spans="1:26">
      <c r="A9" s="3"/>
      <c r="B9" s="3"/>
      <c r="C9" s="149"/>
      <c r="D9" s="150" t="str">
        <f>IF(COUNTIFS('Order Level'!$I:$I,"delivered",'Order Level'!$G:$G,'Discounts Summary'!$C9)=0,"",COUNTIFS('Order Level'!$I:$I,"delivered",'Order Level'!$G:$G,'Discounts Summary'!$C9))</f>
        <v/>
      </c>
      <c r="E9" s="151" t="str">
        <f>IF(SUMIFS('Order Level'!$O:$O,'Order Level'!$I:$I,"Delivered",'Order Level'!$G:$G,'Discounts Summary'!$C9)=0,"",SUMIFS('Order Level'!$O:$O,'Order Level'!$I:$I,"Delivered",'Order Level'!$G:$G,'Discounts Summary'!$C9))</f>
        <v/>
      </c>
      <c r="F9" s="151" t="str">
        <f>IF(SUMIF('Order Level'!$G:$G,$C9,'Order Level'!R:R)=0,"",SUMIF('Order Level'!$G:$G,$C9,'Order Level'!R:R))</f>
        <v/>
      </c>
      <c r="G9" s="151" t="str">
        <f t="shared" si="0"/>
        <v/>
      </c>
      <c r="H9" s="152" t="str">
        <f t="shared" si="1"/>
        <v/>
      </c>
      <c r="I9" s="3"/>
      <c r="J9" s="3"/>
      <c r="K9" s="3"/>
      <c r="L9" s="3"/>
      <c r="M9" s="3"/>
      <c r="N9" s="3"/>
      <c r="O9" s="3"/>
      <c r="P9" s="3"/>
      <c r="Q9" s="3"/>
      <c r="R9" s="3"/>
      <c r="S9" s="3"/>
      <c r="T9" s="3"/>
      <c r="U9" s="3"/>
      <c r="V9" s="3"/>
      <c r="W9" s="3"/>
      <c r="X9" s="3"/>
      <c r="Y9" s="3"/>
      <c r="Z9" s="3"/>
    </row>
    <row r="10" spans="1:26">
      <c r="A10" s="3"/>
      <c r="B10" s="3"/>
      <c r="C10" s="149"/>
      <c r="D10" s="150" t="str">
        <f>IF(COUNTIFS('Order Level'!$I:$I,"delivered",'Order Level'!$G:$G,'Discounts Summary'!$C10)=0,"",COUNTIFS('Order Level'!$I:$I,"delivered",'Order Level'!$G:$G,'Discounts Summary'!$C10))</f>
        <v/>
      </c>
      <c r="E10" s="151" t="str">
        <f>IF(SUMIFS('Order Level'!$O:$O,'Order Level'!$I:$I,"Delivered",'Order Level'!$G:$G,'Discounts Summary'!$C10)=0,"",SUMIFS('Order Level'!$O:$O,'Order Level'!$I:$I,"Delivered",'Order Level'!$G:$G,'Discounts Summary'!$C10))</f>
        <v/>
      </c>
      <c r="F10" s="151" t="str">
        <f>IF(SUMIF('Order Level'!$G:$G,$C10,'Order Level'!R:R)=0,"",SUMIF('Order Level'!$G:$G,$C10,'Order Level'!R:R))</f>
        <v/>
      </c>
      <c r="G10" s="151" t="str">
        <f t="shared" si="0"/>
        <v/>
      </c>
      <c r="H10" s="152" t="str">
        <f t="shared" si="1"/>
        <v/>
      </c>
      <c r="I10" s="3"/>
      <c r="J10" s="3"/>
      <c r="K10" s="3"/>
      <c r="L10" s="3"/>
      <c r="M10" s="3"/>
      <c r="N10" s="3"/>
      <c r="O10" s="3"/>
      <c r="P10" s="3"/>
      <c r="Q10" s="3"/>
      <c r="R10" s="3"/>
      <c r="S10" s="3"/>
      <c r="T10" s="3"/>
      <c r="U10" s="3"/>
      <c r="V10" s="3"/>
      <c r="W10" s="3"/>
      <c r="X10" s="3"/>
      <c r="Y10" s="3"/>
      <c r="Z10" s="3"/>
    </row>
    <row r="11" spans="1:26">
      <c r="A11" s="3"/>
      <c r="B11" s="3"/>
      <c r="C11" s="149"/>
      <c r="D11" s="150" t="str">
        <f>IF(COUNTIFS('Order Level'!$I:$I,"delivered",'Order Level'!$G:$G,'Discounts Summary'!$C11)=0,"",COUNTIFS('Order Level'!$I:$I,"delivered",'Order Level'!$G:$G,'Discounts Summary'!$C11))</f>
        <v/>
      </c>
      <c r="E11" s="151" t="str">
        <f>IF(SUMIFS('Order Level'!$O:$O,'Order Level'!$I:$I,"Delivered",'Order Level'!$G:$G,'Discounts Summary'!$C11)=0,"",SUMIFS('Order Level'!$O:$O,'Order Level'!$I:$I,"Delivered",'Order Level'!$G:$G,'Discounts Summary'!$C11))</f>
        <v/>
      </c>
      <c r="F11" s="151" t="str">
        <f>IF(SUMIF('Order Level'!$G:$G,$C11,'Order Level'!R:R)=0,"",SUMIF('Order Level'!$G:$G,$C11,'Order Level'!R:R))</f>
        <v/>
      </c>
      <c r="G11" s="151" t="str">
        <f t="shared" si="0"/>
        <v/>
      </c>
      <c r="H11" s="152" t="str">
        <f t="shared" si="1"/>
        <v/>
      </c>
      <c r="I11" s="3"/>
      <c r="J11" s="3"/>
      <c r="K11" s="3"/>
      <c r="L11" s="3"/>
      <c r="M11" s="3"/>
      <c r="N11" s="3"/>
      <c r="O11" s="3"/>
      <c r="P11" s="3"/>
      <c r="Q11" s="3"/>
      <c r="R11" s="3"/>
      <c r="S11" s="3"/>
      <c r="T11" s="3"/>
      <c r="U11" s="3"/>
      <c r="V11" s="3"/>
      <c r="W11" s="3"/>
      <c r="X11" s="3"/>
      <c r="Y11" s="3"/>
      <c r="Z11" s="3"/>
    </row>
    <row r="12" spans="1:26">
      <c r="A12" s="3"/>
      <c r="B12" s="3"/>
      <c r="C12" s="149"/>
      <c r="D12" s="150" t="str">
        <f>IF(COUNTIFS('Order Level'!$I:$I,"delivered",'Order Level'!$G:$G,'Discounts Summary'!$C12)=0,"",COUNTIFS('Order Level'!$I:$I,"delivered",'Order Level'!$G:$G,'Discounts Summary'!$C12))</f>
        <v/>
      </c>
      <c r="E12" s="151" t="str">
        <f>IF(SUMIFS('Order Level'!$O:$O,'Order Level'!$I:$I,"Delivered",'Order Level'!$G:$G,'Discounts Summary'!$C12)=0,"",SUMIFS('Order Level'!$O:$O,'Order Level'!$I:$I,"Delivered",'Order Level'!$G:$G,'Discounts Summary'!$C12))</f>
        <v/>
      </c>
      <c r="F12" s="151" t="str">
        <f>IF(SUMIF('Order Level'!$G:$G,$C12,'Order Level'!R:R)=0,"",SUMIF('Order Level'!$G:$G,$C12,'Order Level'!R:R))</f>
        <v/>
      </c>
      <c r="G12" s="151" t="str">
        <f t="shared" si="0"/>
        <v/>
      </c>
      <c r="H12" s="152" t="str">
        <f t="shared" si="1"/>
        <v/>
      </c>
      <c r="I12" s="3"/>
      <c r="J12" s="3"/>
      <c r="K12" s="3"/>
      <c r="L12" s="3"/>
      <c r="M12" s="3"/>
      <c r="N12" s="3"/>
      <c r="O12" s="3"/>
      <c r="P12" s="3"/>
      <c r="Q12" s="3"/>
      <c r="R12" s="3"/>
      <c r="S12" s="3"/>
      <c r="T12" s="3"/>
      <c r="U12" s="3"/>
      <c r="V12" s="3"/>
      <c r="W12" s="3"/>
      <c r="X12" s="3"/>
      <c r="Y12" s="3"/>
      <c r="Z12" s="3"/>
    </row>
    <row r="13" spans="1:26">
      <c r="A13" s="3"/>
      <c r="B13" s="3"/>
      <c r="C13" s="149"/>
      <c r="D13" s="150" t="str">
        <f>IF(COUNTIFS('Order Level'!$I:$I,"delivered",'Order Level'!$G:$G,'Discounts Summary'!$C13)=0,"",COUNTIFS('Order Level'!$I:$I,"delivered",'Order Level'!$G:$G,'Discounts Summary'!$C13))</f>
        <v/>
      </c>
      <c r="E13" s="151" t="str">
        <f>IF(SUMIFS('Order Level'!$O:$O,'Order Level'!$I:$I,"Delivered",'Order Level'!$G:$G,'Discounts Summary'!$C13)=0,"",SUMIFS('Order Level'!$O:$O,'Order Level'!$I:$I,"Delivered",'Order Level'!$G:$G,'Discounts Summary'!$C13))</f>
        <v/>
      </c>
      <c r="F13" s="151" t="str">
        <f>IF(SUMIF('Order Level'!$G:$G,$C13,'Order Level'!R:R)=0,"",SUMIF('Order Level'!$G:$G,$C13,'Order Level'!R:R))</f>
        <v/>
      </c>
      <c r="G13" s="151" t="str">
        <f t="shared" si="0"/>
        <v/>
      </c>
      <c r="H13" s="152" t="str">
        <f t="shared" si="1"/>
        <v/>
      </c>
      <c r="I13" s="3"/>
      <c r="J13" s="3"/>
      <c r="K13" s="3"/>
      <c r="L13" s="3"/>
      <c r="M13" s="3"/>
      <c r="N13" s="3"/>
      <c r="O13" s="3"/>
      <c r="P13" s="3"/>
      <c r="Q13" s="3"/>
      <c r="R13" s="3"/>
      <c r="S13" s="3"/>
      <c r="T13" s="3"/>
      <c r="U13" s="3"/>
      <c r="V13" s="3"/>
      <c r="W13" s="3"/>
      <c r="X13" s="3"/>
      <c r="Y13" s="3"/>
      <c r="Z13" s="3"/>
    </row>
    <row r="14" spans="1:26">
      <c r="A14" s="3"/>
      <c r="B14" s="3"/>
      <c r="C14" s="149"/>
      <c r="D14" s="150" t="str">
        <f>IF(COUNTIFS('Order Level'!$I:$I,"delivered",'Order Level'!$G:$G,'Discounts Summary'!$C14)=0,"",COUNTIFS('Order Level'!$I:$I,"delivered",'Order Level'!$G:$G,'Discounts Summary'!$C14))</f>
        <v/>
      </c>
      <c r="E14" s="151" t="str">
        <f>IF(SUMIFS('Order Level'!$O:$O,'Order Level'!$I:$I,"Delivered",'Order Level'!$G:$G,'Discounts Summary'!$C14)=0,"",SUMIFS('Order Level'!$O:$O,'Order Level'!$I:$I,"Delivered",'Order Level'!$G:$G,'Discounts Summary'!$C14))</f>
        <v/>
      </c>
      <c r="F14" s="151" t="str">
        <f>IF(SUMIF('Order Level'!$G:$G,$C14,'Order Level'!R:R)=0,"",SUMIF('Order Level'!$G:$G,$C14,'Order Level'!R:R))</f>
        <v/>
      </c>
      <c r="G14" s="151" t="str">
        <f t="shared" si="0"/>
        <v/>
      </c>
      <c r="H14" s="152" t="str">
        <f t="shared" si="1"/>
        <v/>
      </c>
      <c r="I14" s="3"/>
      <c r="J14" s="3"/>
      <c r="K14" s="3"/>
      <c r="L14" s="3"/>
      <c r="M14" s="3"/>
      <c r="N14" s="3"/>
      <c r="O14" s="3"/>
      <c r="P14" s="3"/>
      <c r="Q14" s="3"/>
      <c r="R14" s="3"/>
      <c r="S14" s="3"/>
      <c r="T14" s="3"/>
      <c r="U14" s="3"/>
      <c r="V14" s="3"/>
      <c r="W14" s="3"/>
      <c r="X14" s="3"/>
      <c r="Y14" s="3"/>
      <c r="Z14" s="3"/>
    </row>
    <row r="15" spans="1:26">
      <c r="A15" s="3"/>
      <c r="B15" s="3"/>
      <c r="C15" s="149"/>
      <c r="D15" s="150" t="str">
        <f>IF(COUNTIFS('Order Level'!$I:$I,"delivered",'Order Level'!$G:$G,'Discounts Summary'!$C15)=0,"",COUNTIFS('Order Level'!$I:$I,"delivered",'Order Level'!$G:$G,'Discounts Summary'!$C15))</f>
        <v/>
      </c>
      <c r="E15" s="151" t="str">
        <f>IF(SUMIFS('Order Level'!$O:$O,'Order Level'!$I:$I,"Delivered",'Order Level'!$G:$G,'Discounts Summary'!$C15)=0,"",SUMIFS('Order Level'!$O:$O,'Order Level'!$I:$I,"Delivered",'Order Level'!$G:$G,'Discounts Summary'!$C15))</f>
        <v/>
      </c>
      <c r="F15" s="151" t="str">
        <f>IF(SUMIF('Order Level'!$G:$G,$C15,'Order Level'!R:R)=0,"",SUMIF('Order Level'!$G:$G,$C15,'Order Level'!R:R))</f>
        <v/>
      </c>
      <c r="G15" s="151" t="str">
        <f t="shared" si="0"/>
        <v/>
      </c>
      <c r="H15" s="152" t="str">
        <f t="shared" si="1"/>
        <v/>
      </c>
      <c r="I15" s="3"/>
      <c r="J15" s="3"/>
      <c r="K15" s="3"/>
      <c r="L15" s="3"/>
      <c r="M15" s="3"/>
      <c r="N15" s="3"/>
      <c r="O15" s="3"/>
      <c r="P15" s="3"/>
      <c r="Q15" s="3"/>
      <c r="R15" s="3"/>
      <c r="S15" s="3"/>
      <c r="T15" s="3"/>
      <c r="U15" s="3"/>
      <c r="V15" s="3"/>
      <c r="W15" s="3"/>
      <c r="X15" s="3"/>
      <c r="Y15" s="3"/>
      <c r="Z15" s="3"/>
    </row>
    <row r="16" spans="1:26">
      <c r="A16" s="3"/>
      <c r="B16" s="3"/>
      <c r="C16" s="149"/>
      <c r="D16" s="150" t="str">
        <f>IF(COUNTIFS('Order Level'!$I:$I,"delivered",'Order Level'!$G:$G,'Discounts Summary'!$C16)=0,"",COUNTIFS('Order Level'!$I:$I,"delivered",'Order Level'!$G:$G,'Discounts Summary'!$C16))</f>
        <v/>
      </c>
      <c r="E16" s="151" t="str">
        <f>IF(SUMIFS('Order Level'!$O:$O,'Order Level'!$I:$I,"Delivered",'Order Level'!$G:$G,'Discounts Summary'!$C16)=0,"",SUMIFS('Order Level'!$O:$O,'Order Level'!$I:$I,"Delivered",'Order Level'!$G:$G,'Discounts Summary'!$C16))</f>
        <v/>
      </c>
      <c r="F16" s="151" t="str">
        <f>IF(SUMIF('Order Level'!$G:$G,$C16,'Order Level'!R:R)=0,"",SUMIF('Order Level'!$G:$G,$C16,'Order Level'!R:R))</f>
        <v/>
      </c>
      <c r="G16" s="151" t="str">
        <f t="shared" si="0"/>
        <v/>
      </c>
      <c r="H16" s="152" t="str">
        <f t="shared" si="1"/>
        <v/>
      </c>
      <c r="I16" s="3"/>
      <c r="J16" s="3"/>
      <c r="K16" s="3"/>
      <c r="L16" s="3"/>
      <c r="M16" s="3"/>
      <c r="N16" s="3"/>
      <c r="O16" s="3"/>
      <c r="P16" s="3"/>
      <c r="Q16" s="3"/>
      <c r="R16" s="3"/>
      <c r="S16" s="3"/>
      <c r="T16" s="3"/>
      <c r="U16" s="3"/>
      <c r="V16" s="3"/>
      <c r="W16" s="3"/>
      <c r="X16" s="3"/>
      <c r="Y16" s="3"/>
      <c r="Z16" s="3"/>
    </row>
    <row r="17" spans="1:26">
      <c r="A17" s="3"/>
      <c r="B17" s="3"/>
      <c r="C17" s="149"/>
      <c r="D17" s="150" t="str">
        <f>IF(COUNTIFS('Order Level'!$I:$I,"delivered",'Order Level'!$G:$G,'Discounts Summary'!$C17)=0,"",COUNTIFS('Order Level'!$I:$I,"delivered",'Order Level'!$G:$G,'Discounts Summary'!$C17))</f>
        <v/>
      </c>
      <c r="E17" s="151" t="str">
        <f>IF(SUMIFS('Order Level'!$O:$O,'Order Level'!$I:$I,"Delivered",'Order Level'!$G:$G,'Discounts Summary'!$C17)=0,"",SUMIFS('Order Level'!$O:$O,'Order Level'!$I:$I,"Delivered",'Order Level'!$G:$G,'Discounts Summary'!$C17))</f>
        <v/>
      </c>
      <c r="F17" s="151" t="str">
        <f>IF(SUMIF('Order Level'!$G:$G,$C17,'Order Level'!R:R)=0,"",SUMIF('Order Level'!$G:$G,$C17,'Order Level'!R:R))</f>
        <v/>
      </c>
      <c r="G17" s="151" t="str">
        <f t="shared" si="0"/>
        <v/>
      </c>
      <c r="H17" s="152" t="str">
        <f t="shared" si="1"/>
        <v/>
      </c>
      <c r="I17" s="3"/>
      <c r="J17" s="3"/>
      <c r="K17" s="3"/>
      <c r="L17" s="3"/>
      <c r="M17" s="3"/>
      <c r="N17" s="3"/>
      <c r="O17" s="3"/>
      <c r="P17" s="3"/>
      <c r="Q17" s="3"/>
      <c r="R17" s="3"/>
      <c r="S17" s="3"/>
      <c r="T17" s="3"/>
      <c r="U17" s="3"/>
      <c r="V17" s="3"/>
      <c r="W17" s="3"/>
      <c r="X17" s="3"/>
      <c r="Y17" s="3"/>
      <c r="Z17" s="3"/>
    </row>
    <row r="18" spans="1:26">
      <c r="A18" s="3"/>
      <c r="B18" s="3"/>
      <c r="C18" s="149"/>
      <c r="D18" s="150" t="str">
        <f>IF(COUNTIFS('Order Level'!$I:$I,"delivered",'Order Level'!$G:$G,'Discounts Summary'!$C18)=0,"",COUNTIFS('Order Level'!$I:$I,"delivered",'Order Level'!$G:$G,'Discounts Summary'!$C18))</f>
        <v/>
      </c>
      <c r="E18" s="151" t="str">
        <f>IF(SUMIFS('Order Level'!$O:$O,'Order Level'!$I:$I,"Delivered",'Order Level'!$G:$G,'Discounts Summary'!$C18)=0,"",SUMIFS('Order Level'!$O:$O,'Order Level'!$I:$I,"Delivered",'Order Level'!$G:$G,'Discounts Summary'!$C18))</f>
        <v/>
      </c>
      <c r="F18" s="151" t="str">
        <f>IF(SUMIF('Order Level'!$G:$G,$C18,'Order Level'!R:R)=0,"",SUMIF('Order Level'!$G:$G,$C18,'Order Level'!R:R))</f>
        <v/>
      </c>
      <c r="G18" s="151" t="str">
        <f t="shared" si="0"/>
        <v/>
      </c>
      <c r="H18" s="152" t="str">
        <f t="shared" si="1"/>
        <v/>
      </c>
      <c r="I18" s="3"/>
      <c r="J18" s="3"/>
      <c r="K18" s="3"/>
      <c r="L18" s="3"/>
      <c r="M18" s="3"/>
      <c r="N18" s="3"/>
      <c r="O18" s="3"/>
      <c r="P18" s="3"/>
      <c r="Q18" s="3"/>
      <c r="R18" s="3"/>
      <c r="S18" s="3"/>
      <c r="T18" s="3"/>
      <c r="U18" s="3"/>
      <c r="V18" s="3"/>
      <c r="W18" s="3"/>
      <c r="X18" s="3"/>
      <c r="Y18" s="3"/>
      <c r="Z18" s="3"/>
    </row>
    <row r="19" spans="1:26">
      <c r="A19" s="3"/>
      <c r="B19" s="3"/>
      <c r="C19" s="149"/>
      <c r="D19" s="150" t="str">
        <f>IF(COUNTIFS('Order Level'!$I:$I,"delivered",'Order Level'!$G:$G,'Discounts Summary'!$C19)=0,"",COUNTIFS('Order Level'!$I:$I,"delivered",'Order Level'!$G:$G,'Discounts Summary'!$C19))</f>
        <v/>
      </c>
      <c r="E19" s="151" t="str">
        <f>IF(SUMIFS('Order Level'!$O:$O,'Order Level'!$I:$I,"Delivered",'Order Level'!$G:$G,'Discounts Summary'!$C19)=0,"",SUMIFS('Order Level'!$O:$O,'Order Level'!$I:$I,"Delivered",'Order Level'!$G:$G,'Discounts Summary'!$C19))</f>
        <v/>
      </c>
      <c r="F19" s="151" t="str">
        <f>IF(SUMIF('Order Level'!$G:$G,$C19,'Order Level'!R:R)=0,"",SUMIF('Order Level'!$G:$G,$C19,'Order Level'!R:R))</f>
        <v/>
      </c>
      <c r="G19" s="151" t="str">
        <f t="shared" si="0"/>
        <v/>
      </c>
      <c r="H19" s="152" t="str">
        <f t="shared" si="1"/>
        <v/>
      </c>
      <c r="I19" s="3"/>
      <c r="J19" s="3"/>
      <c r="K19" s="3"/>
      <c r="L19" s="3"/>
      <c r="M19" s="3"/>
      <c r="N19" s="3"/>
      <c r="O19" s="3"/>
      <c r="P19" s="3"/>
      <c r="Q19" s="3"/>
      <c r="R19" s="3"/>
      <c r="S19" s="3"/>
      <c r="T19" s="3"/>
      <c r="U19" s="3"/>
      <c r="V19" s="3"/>
      <c r="W19" s="3"/>
      <c r="X19" s="3"/>
      <c r="Y19" s="3"/>
      <c r="Z19" s="3"/>
    </row>
    <row r="20" spans="1:26">
      <c r="A20" s="3"/>
      <c r="B20" s="3"/>
      <c r="C20" s="149"/>
      <c r="D20" s="150" t="str">
        <f>IF(COUNTIFS('Order Level'!$I:$I,"delivered",'Order Level'!$G:$G,'Discounts Summary'!$C20)=0,"",COUNTIFS('Order Level'!$I:$I,"delivered",'Order Level'!$G:$G,'Discounts Summary'!$C20))</f>
        <v/>
      </c>
      <c r="E20" s="151" t="str">
        <f>IF(SUMIFS('Order Level'!$O:$O,'Order Level'!$I:$I,"Delivered",'Order Level'!$G:$G,'Discounts Summary'!$C20)=0,"",SUMIFS('Order Level'!$O:$O,'Order Level'!$I:$I,"Delivered",'Order Level'!$G:$G,'Discounts Summary'!$C20))</f>
        <v/>
      </c>
      <c r="F20" s="151" t="str">
        <f>IF(SUMIF('Order Level'!$G:$G,$C20,'Order Level'!R:R)=0,"",SUMIF('Order Level'!$G:$G,$C20,'Order Level'!R:R))</f>
        <v/>
      </c>
      <c r="G20" s="151" t="str">
        <f t="shared" si="0"/>
        <v/>
      </c>
      <c r="H20" s="152" t="str">
        <f t="shared" si="1"/>
        <v/>
      </c>
      <c r="I20" s="3"/>
      <c r="J20" s="3"/>
      <c r="K20" s="3"/>
      <c r="L20" s="3"/>
      <c r="M20" s="3"/>
      <c r="N20" s="3"/>
      <c r="O20" s="3"/>
      <c r="P20" s="3"/>
      <c r="Q20" s="3"/>
      <c r="R20" s="3"/>
      <c r="S20" s="3"/>
      <c r="T20" s="3"/>
      <c r="U20" s="3"/>
      <c r="V20" s="3"/>
      <c r="W20" s="3"/>
      <c r="X20" s="3"/>
      <c r="Y20" s="3"/>
      <c r="Z20" s="3"/>
    </row>
    <row r="21" spans="1:26" ht="15.75" customHeight="1">
      <c r="A21" s="3"/>
      <c r="B21" s="3"/>
      <c r="C21" s="149"/>
      <c r="D21" s="150" t="str">
        <f>IF(COUNTIFS('Order Level'!$I:$I,"delivered",'Order Level'!$G:$G,'Discounts Summary'!$C21)=0,"",COUNTIFS('Order Level'!$I:$I,"delivered",'Order Level'!$G:$G,'Discounts Summary'!$C21))</f>
        <v/>
      </c>
      <c r="E21" s="151" t="str">
        <f>IF(SUMIFS('Order Level'!$O:$O,'Order Level'!$I:$I,"Delivered",'Order Level'!$G:$G,'Discounts Summary'!$C21)=0,"",SUMIFS('Order Level'!$O:$O,'Order Level'!$I:$I,"Delivered",'Order Level'!$G:$G,'Discounts Summary'!$C21))</f>
        <v/>
      </c>
      <c r="F21" s="151" t="str">
        <f>IF(SUMIF('Order Level'!$G:$G,$C21,'Order Level'!R:R)=0,"",SUMIF('Order Level'!$G:$G,$C21,'Order Level'!R:R))</f>
        <v/>
      </c>
      <c r="G21" s="151" t="str">
        <f t="shared" si="0"/>
        <v/>
      </c>
      <c r="H21" s="152" t="str">
        <f t="shared" si="1"/>
        <v/>
      </c>
      <c r="I21" s="3"/>
      <c r="J21" s="3"/>
      <c r="K21" s="3"/>
      <c r="L21" s="3"/>
      <c r="M21" s="3"/>
      <c r="N21" s="3"/>
      <c r="O21" s="3"/>
      <c r="P21" s="3"/>
      <c r="Q21" s="3"/>
      <c r="R21" s="3"/>
      <c r="S21" s="3"/>
      <c r="T21" s="3"/>
      <c r="U21" s="3"/>
      <c r="V21" s="3"/>
      <c r="W21" s="3"/>
      <c r="X21" s="3"/>
      <c r="Y21" s="3"/>
      <c r="Z21" s="3"/>
    </row>
    <row r="22" spans="1:26" ht="15.75" customHeight="1">
      <c r="A22" s="3"/>
      <c r="B22" s="3"/>
      <c r="C22" s="149"/>
      <c r="D22" s="150" t="str">
        <f>IF(COUNTIFS('Order Level'!$I:$I,"delivered",'Order Level'!$G:$G,'Discounts Summary'!$C22)=0,"",COUNTIFS('Order Level'!$I:$I,"delivered",'Order Level'!$G:$G,'Discounts Summary'!$C22))</f>
        <v/>
      </c>
      <c r="E22" s="151" t="str">
        <f>IF(SUMIFS('Order Level'!$O:$O,'Order Level'!$I:$I,"Delivered",'Order Level'!$G:$G,'Discounts Summary'!$C22)=0,"",SUMIFS('Order Level'!$O:$O,'Order Level'!$I:$I,"Delivered",'Order Level'!$G:$G,'Discounts Summary'!$C22))</f>
        <v/>
      </c>
      <c r="F22" s="151" t="str">
        <f>IF(SUMIF('Order Level'!$G:$G,$C22,'Order Level'!R:R)=0,"",SUMIF('Order Level'!$G:$G,$C22,'Order Level'!R:R))</f>
        <v/>
      </c>
      <c r="G22" s="151" t="str">
        <f t="shared" si="0"/>
        <v/>
      </c>
      <c r="H22" s="152" t="str">
        <f t="shared" si="1"/>
        <v/>
      </c>
      <c r="I22" s="3"/>
      <c r="J22" s="3"/>
      <c r="K22" s="3"/>
      <c r="L22" s="3"/>
      <c r="M22" s="3"/>
      <c r="N22" s="3"/>
      <c r="O22" s="3"/>
      <c r="P22" s="3"/>
      <c r="Q22" s="3"/>
      <c r="R22" s="3"/>
      <c r="S22" s="3"/>
      <c r="T22" s="3"/>
      <c r="U22" s="3"/>
      <c r="V22" s="3"/>
      <c r="W22" s="3"/>
      <c r="X22" s="3"/>
      <c r="Y22" s="3"/>
      <c r="Z22" s="3"/>
    </row>
    <row r="23" spans="1:26" ht="15.75" customHeight="1">
      <c r="A23" s="3"/>
      <c r="B23" s="3"/>
      <c r="C23" s="149"/>
      <c r="D23" s="150" t="str">
        <f>IF(COUNTIFS('Order Level'!$I:$I,"delivered",'Order Level'!$G:$G,'Discounts Summary'!$C23)=0,"",COUNTIFS('Order Level'!$I:$I,"delivered",'Order Level'!$G:$G,'Discounts Summary'!$C23))</f>
        <v/>
      </c>
      <c r="E23" s="151" t="str">
        <f>IF(SUMIFS('Order Level'!$O:$O,'Order Level'!$I:$I,"Delivered",'Order Level'!$G:$G,'Discounts Summary'!$C23)=0,"",SUMIFS('Order Level'!$O:$O,'Order Level'!$I:$I,"Delivered",'Order Level'!$G:$G,'Discounts Summary'!$C23))</f>
        <v/>
      </c>
      <c r="F23" s="151" t="str">
        <f>IF(SUMIF('Order Level'!$G:$G,$C23,'Order Level'!R:R)=0,"",SUMIF('Order Level'!$G:$G,$C23,'Order Level'!R:R))</f>
        <v/>
      </c>
      <c r="G23" s="151" t="str">
        <f t="shared" si="0"/>
        <v/>
      </c>
      <c r="H23" s="152" t="str">
        <f t="shared" si="1"/>
        <v/>
      </c>
      <c r="I23" s="3"/>
      <c r="J23" s="3"/>
      <c r="K23" s="3"/>
      <c r="L23" s="3"/>
      <c r="M23" s="3"/>
      <c r="N23" s="3"/>
      <c r="O23" s="3"/>
      <c r="P23" s="3"/>
      <c r="Q23" s="3"/>
      <c r="R23" s="3"/>
      <c r="S23" s="3"/>
      <c r="T23" s="3"/>
      <c r="U23" s="3"/>
      <c r="V23" s="3"/>
      <c r="W23" s="3"/>
      <c r="X23" s="3"/>
      <c r="Y23" s="3"/>
      <c r="Z23" s="3"/>
    </row>
    <row r="24" spans="1:26" ht="15.75" customHeight="1">
      <c r="A24" s="3"/>
      <c r="B24" s="3"/>
      <c r="C24" s="149"/>
      <c r="D24" s="150" t="str">
        <f>IF(COUNTIFS('Order Level'!$I:$I,"delivered",'Order Level'!$G:$G,'Discounts Summary'!$C24)=0,"",COUNTIFS('Order Level'!$I:$I,"delivered",'Order Level'!$G:$G,'Discounts Summary'!$C24))</f>
        <v/>
      </c>
      <c r="E24" s="151" t="str">
        <f>IF(SUMIFS('Order Level'!$O:$O,'Order Level'!$I:$I,"Delivered",'Order Level'!$G:$G,'Discounts Summary'!$C24)=0,"",SUMIFS('Order Level'!$O:$O,'Order Level'!$I:$I,"Delivered",'Order Level'!$G:$G,'Discounts Summary'!$C24))</f>
        <v/>
      </c>
      <c r="F24" s="151" t="str">
        <f>IF(SUMIF('Order Level'!$G:$G,$C24,'Order Level'!R:R)=0,"",SUMIF('Order Level'!$G:$G,$C24,'Order Level'!R:R))</f>
        <v/>
      </c>
      <c r="G24" s="151" t="str">
        <f t="shared" si="0"/>
        <v/>
      </c>
      <c r="H24" s="152" t="str">
        <f t="shared" si="1"/>
        <v/>
      </c>
      <c r="I24" s="3"/>
      <c r="J24" s="3"/>
      <c r="K24" s="3"/>
      <c r="L24" s="3"/>
      <c r="M24" s="3"/>
      <c r="N24" s="3"/>
      <c r="O24" s="3"/>
      <c r="P24" s="3"/>
      <c r="Q24" s="3"/>
      <c r="R24" s="3"/>
      <c r="S24" s="3"/>
      <c r="T24" s="3"/>
      <c r="U24" s="3"/>
      <c r="V24" s="3"/>
      <c r="W24" s="3"/>
      <c r="X24" s="3"/>
      <c r="Y24" s="3"/>
      <c r="Z24" s="3"/>
    </row>
    <row r="25" spans="1:26" ht="15.75" customHeight="1">
      <c r="A25" s="3"/>
      <c r="B25" s="3"/>
      <c r="C25" s="149"/>
      <c r="D25" s="150" t="str">
        <f>IF(COUNTIFS('Order Level'!$I:$I,"delivered",'Order Level'!$G:$G,'Discounts Summary'!$C25)=0,"",COUNTIFS('Order Level'!$I:$I,"delivered",'Order Level'!$G:$G,'Discounts Summary'!$C25))</f>
        <v/>
      </c>
      <c r="E25" s="151" t="str">
        <f>IF(SUMIFS('Order Level'!$O:$O,'Order Level'!$I:$I,"Delivered",'Order Level'!$G:$G,'Discounts Summary'!$C25)=0,"",SUMIFS('Order Level'!$O:$O,'Order Level'!$I:$I,"Delivered",'Order Level'!$G:$G,'Discounts Summary'!$C25))</f>
        <v/>
      </c>
      <c r="F25" s="151" t="str">
        <f>IF(SUMIF('Order Level'!$G:$G,$C25,'Order Level'!R:R)=0,"",SUMIF('Order Level'!$G:$G,$C25,'Order Level'!R:R))</f>
        <v/>
      </c>
      <c r="G25" s="151" t="str">
        <f t="shared" si="0"/>
        <v/>
      </c>
      <c r="H25" s="152" t="str">
        <f t="shared" si="1"/>
        <v/>
      </c>
      <c r="I25" s="3"/>
      <c r="J25" s="3"/>
      <c r="K25" s="3"/>
      <c r="L25" s="3"/>
      <c r="M25" s="3"/>
      <c r="N25" s="3"/>
      <c r="O25" s="3"/>
      <c r="P25" s="3"/>
      <c r="Q25" s="3"/>
      <c r="R25" s="3"/>
      <c r="S25" s="3"/>
      <c r="T25" s="3"/>
      <c r="U25" s="3"/>
      <c r="V25" s="3"/>
      <c r="W25" s="3"/>
      <c r="X25" s="3"/>
      <c r="Y25" s="3"/>
      <c r="Z25" s="3"/>
    </row>
    <row r="26" spans="1:26" ht="15.75" customHeight="1">
      <c r="A26" s="3"/>
      <c r="B26" s="3"/>
      <c r="C26" s="149"/>
      <c r="D26" s="150" t="str">
        <f>IF(COUNTIFS('Order Level'!$I:$I,"delivered",'Order Level'!$G:$G,'Discounts Summary'!$C26)=0,"",COUNTIFS('Order Level'!$I:$I,"delivered",'Order Level'!$G:$G,'Discounts Summary'!$C26))</f>
        <v/>
      </c>
      <c r="E26" s="151" t="str">
        <f>IF(SUMIFS('Order Level'!$O:$O,'Order Level'!$I:$I,"Delivered",'Order Level'!$G:$G,'Discounts Summary'!$C26)=0,"",SUMIFS('Order Level'!$O:$O,'Order Level'!$I:$I,"Delivered",'Order Level'!$G:$G,'Discounts Summary'!$C26))</f>
        <v/>
      </c>
      <c r="F26" s="151" t="str">
        <f>IF(SUMIF('Order Level'!$G:$G,$C26,'Order Level'!R:R)=0,"",SUMIF('Order Level'!$G:$G,$C26,'Order Level'!R:R))</f>
        <v/>
      </c>
      <c r="G26" s="151" t="str">
        <f t="shared" si="0"/>
        <v/>
      </c>
      <c r="H26" s="152" t="str">
        <f t="shared" si="1"/>
        <v/>
      </c>
      <c r="I26" s="3"/>
      <c r="J26" s="3"/>
      <c r="K26" s="3"/>
      <c r="L26" s="3"/>
      <c r="M26" s="3"/>
      <c r="N26" s="3"/>
      <c r="O26" s="3"/>
      <c r="P26" s="3"/>
      <c r="Q26" s="3"/>
      <c r="R26" s="3"/>
      <c r="S26" s="3"/>
      <c r="T26" s="3"/>
      <c r="U26" s="3"/>
      <c r="V26" s="3"/>
      <c r="W26" s="3"/>
      <c r="X26" s="3"/>
      <c r="Y26" s="3"/>
      <c r="Z26" s="3"/>
    </row>
    <row r="27" spans="1:26" ht="15.75" customHeight="1">
      <c r="A27" s="3"/>
      <c r="B27" s="3"/>
      <c r="C27" s="149"/>
      <c r="D27" s="150" t="str">
        <f>IF(COUNTIFS('Order Level'!$I:$I,"delivered",'Order Level'!$G:$G,'Discounts Summary'!$C27)=0,"",COUNTIFS('Order Level'!$I:$I,"delivered",'Order Level'!$G:$G,'Discounts Summary'!$C27))</f>
        <v/>
      </c>
      <c r="E27" s="151" t="str">
        <f>IF(SUMIFS('Order Level'!$O:$O,'Order Level'!$I:$I,"Delivered",'Order Level'!$G:$G,'Discounts Summary'!$C27)=0,"",SUMIFS('Order Level'!$O:$O,'Order Level'!$I:$I,"Delivered",'Order Level'!$G:$G,'Discounts Summary'!$C27))</f>
        <v/>
      </c>
      <c r="F27" s="151" t="str">
        <f>IF(SUMIF('Order Level'!$G:$G,$C27,'Order Level'!R:R)=0,"",SUMIF('Order Level'!$G:$G,$C27,'Order Level'!R:R))</f>
        <v/>
      </c>
      <c r="G27" s="151" t="str">
        <f t="shared" si="0"/>
        <v/>
      </c>
      <c r="H27" s="152" t="str">
        <f t="shared" si="1"/>
        <v/>
      </c>
      <c r="I27" s="3"/>
      <c r="J27" s="3"/>
      <c r="K27" s="3"/>
      <c r="L27" s="3"/>
      <c r="M27" s="3"/>
      <c r="N27" s="3"/>
      <c r="O27" s="3"/>
      <c r="P27" s="3"/>
      <c r="Q27" s="3"/>
      <c r="R27" s="3"/>
      <c r="S27" s="3"/>
      <c r="T27" s="3"/>
      <c r="U27" s="3"/>
      <c r="V27" s="3"/>
      <c r="W27" s="3"/>
      <c r="X27" s="3"/>
      <c r="Y27" s="3"/>
      <c r="Z27" s="3"/>
    </row>
    <row r="28" spans="1:26" ht="15.75" customHeight="1">
      <c r="A28" s="3"/>
      <c r="B28" s="3"/>
      <c r="C28" s="149"/>
      <c r="D28" s="150" t="str">
        <f>IF(COUNTIFS('Order Level'!$I:$I,"delivered",'Order Level'!$G:$G,'Discounts Summary'!$C28)=0,"",COUNTIFS('Order Level'!$I:$I,"delivered",'Order Level'!$G:$G,'Discounts Summary'!$C28))</f>
        <v/>
      </c>
      <c r="E28" s="151" t="str">
        <f>IF(SUMIFS('Order Level'!$O:$O,'Order Level'!$I:$I,"Delivered",'Order Level'!$G:$G,'Discounts Summary'!$C28)=0,"",SUMIFS('Order Level'!$O:$O,'Order Level'!$I:$I,"Delivered",'Order Level'!$G:$G,'Discounts Summary'!$C28))</f>
        <v/>
      </c>
      <c r="F28" s="151" t="str">
        <f>IF(SUMIF('Order Level'!$G:$G,$C28,'Order Level'!R:R)=0,"",SUMIF('Order Level'!$G:$G,$C28,'Order Level'!R:R))</f>
        <v/>
      </c>
      <c r="G28" s="151" t="str">
        <f t="shared" si="0"/>
        <v/>
      </c>
      <c r="H28" s="152" t="str">
        <f t="shared" si="1"/>
        <v/>
      </c>
      <c r="I28" s="3"/>
      <c r="J28" s="3"/>
      <c r="K28" s="3"/>
      <c r="L28" s="3"/>
      <c r="M28" s="3"/>
      <c r="N28" s="3"/>
      <c r="O28" s="3"/>
      <c r="P28" s="3"/>
      <c r="Q28" s="3"/>
      <c r="R28" s="3"/>
      <c r="S28" s="3"/>
      <c r="T28" s="3"/>
      <c r="U28" s="3"/>
      <c r="V28" s="3"/>
      <c r="W28" s="3"/>
      <c r="X28" s="3"/>
      <c r="Y28" s="3"/>
      <c r="Z28" s="3"/>
    </row>
    <row r="29" spans="1:26" ht="15.75" customHeight="1">
      <c r="A29" s="3"/>
      <c r="B29" s="3"/>
      <c r="C29" s="149"/>
      <c r="D29" s="150" t="str">
        <f>IF(COUNTIFS('Order Level'!$I:$I,"delivered",'Order Level'!$G:$G,'Discounts Summary'!$C29)=0,"",COUNTIFS('Order Level'!$I:$I,"delivered",'Order Level'!$G:$G,'Discounts Summary'!$C29))</f>
        <v/>
      </c>
      <c r="E29" s="151" t="str">
        <f>IF(SUMIFS('Order Level'!$O:$O,'Order Level'!$I:$I,"Delivered",'Order Level'!$G:$G,'Discounts Summary'!$C29)=0,"",SUMIFS('Order Level'!$O:$O,'Order Level'!$I:$I,"Delivered",'Order Level'!$G:$G,'Discounts Summary'!$C29))</f>
        <v/>
      </c>
      <c r="F29" s="151" t="str">
        <f>IF(SUMIF('Order Level'!$G:$G,$C29,'Order Level'!R:R)=0,"",SUMIF('Order Level'!$G:$G,$C29,'Order Level'!R:R))</f>
        <v/>
      </c>
      <c r="G29" s="151" t="str">
        <f t="shared" si="0"/>
        <v/>
      </c>
      <c r="H29" s="152" t="str">
        <f t="shared" si="1"/>
        <v/>
      </c>
      <c r="I29" s="3"/>
      <c r="J29" s="3"/>
      <c r="K29" s="3"/>
      <c r="L29" s="3"/>
      <c r="M29" s="3"/>
      <c r="N29" s="3"/>
      <c r="O29" s="3"/>
      <c r="P29" s="3"/>
      <c r="Q29" s="3"/>
      <c r="R29" s="3"/>
      <c r="S29" s="3"/>
      <c r="T29" s="3"/>
      <c r="U29" s="3"/>
      <c r="V29" s="3"/>
      <c r="W29" s="3"/>
      <c r="X29" s="3"/>
      <c r="Y29" s="3"/>
      <c r="Z29" s="3"/>
    </row>
    <row r="30" spans="1:26" ht="15.75" customHeight="1">
      <c r="A30" s="3"/>
      <c r="B30" s="3"/>
      <c r="C30" s="149"/>
      <c r="D30" s="150" t="str">
        <f>IF(COUNTIFS('Order Level'!$I:$I,"delivered",'Order Level'!$G:$G,'Discounts Summary'!$C30)=0,"",COUNTIFS('Order Level'!$I:$I,"delivered",'Order Level'!$G:$G,'Discounts Summary'!$C30))</f>
        <v/>
      </c>
      <c r="E30" s="151" t="str">
        <f>IF(SUMIFS('Order Level'!$O:$O,'Order Level'!$I:$I,"Delivered",'Order Level'!$G:$G,'Discounts Summary'!$C30)=0,"",SUMIFS('Order Level'!$O:$O,'Order Level'!$I:$I,"Delivered",'Order Level'!$G:$G,'Discounts Summary'!$C30))</f>
        <v/>
      </c>
      <c r="F30" s="151" t="str">
        <f>IF(SUMIF('Order Level'!$G:$G,$C30,'Order Level'!R:R)=0,"",SUMIF('Order Level'!$G:$G,$C30,'Order Level'!R:R))</f>
        <v/>
      </c>
      <c r="G30" s="151" t="str">
        <f t="shared" si="0"/>
        <v/>
      </c>
      <c r="H30" s="152" t="str">
        <f t="shared" si="1"/>
        <v/>
      </c>
      <c r="I30" s="3"/>
      <c r="J30" s="3"/>
      <c r="K30" s="3"/>
      <c r="L30" s="3"/>
      <c r="M30" s="3"/>
      <c r="N30" s="3"/>
      <c r="O30" s="3"/>
      <c r="P30" s="3"/>
      <c r="Q30" s="3"/>
      <c r="R30" s="3"/>
      <c r="S30" s="3"/>
      <c r="T30" s="3"/>
      <c r="U30" s="3"/>
      <c r="V30" s="3"/>
      <c r="W30" s="3"/>
      <c r="X30" s="3"/>
      <c r="Y30" s="3"/>
      <c r="Z30" s="3"/>
    </row>
    <row r="31" spans="1:26" ht="15.75" customHeight="1">
      <c r="A31" s="3"/>
      <c r="B31" s="3"/>
      <c r="C31" s="149"/>
      <c r="D31" s="150" t="str">
        <f>IF(COUNTIFS('Order Level'!$I:$I,"delivered",'Order Level'!$G:$G,'Discounts Summary'!$C31)=0,"",COUNTIFS('Order Level'!$I:$I,"delivered",'Order Level'!$G:$G,'Discounts Summary'!$C31))</f>
        <v/>
      </c>
      <c r="E31" s="151" t="str">
        <f>IF(SUMIFS('Order Level'!$O:$O,'Order Level'!$I:$I,"Delivered",'Order Level'!$G:$G,'Discounts Summary'!$C31)=0,"",SUMIFS('Order Level'!$O:$O,'Order Level'!$I:$I,"Delivered",'Order Level'!$G:$G,'Discounts Summary'!$C31))</f>
        <v/>
      </c>
      <c r="F31" s="151" t="str">
        <f>IF(SUMIF('Order Level'!$G:$G,$C31,'Order Level'!R:R)=0,"",SUMIF('Order Level'!$G:$G,$C31,'Order Level'!R:R))</f>
        <v/>
      </c>
      <c r="G31" s="151" t="str">
        <f t="shared" si="0"/>
        <v/>
      </c>
      <c r="H31" s="152" t="str">
        <f t="shared" si="1"/>
        <v/>
      </c>
      <c r="I31" s="3"/>
      <c r="J31" s="3"/>
      <c r="K31" s="3"/>
      <c r="L31" s="3"/>
      <c r="M31" s="3"/>
      <c r="N31" s="3"/>
      <c r="O31" s="3"/>
      <c r="P31" s="3"/>
      <c r="Q31" s="3"/>
      <c r="R31" s="3"/>
      <c r="S31" s="3"/>
      <c r="T31" s="3"/>
      <c r="U31" s="3"/>
      <c r="V31" s="3"/>
      <c r="W31" s="3"/>
      <c r="X31" s="3"/>
      <c r="Y31" s="3"/>
      <c r="Z31" s="3"/>
    </row>
    <row r="32" spans="1:26" ht="15.75" customHeight="1">
      <c r="A32" s="3"/>
      <c r="B32" s="3"/>
      <c r="C32" s="149"/>
      <c r="D32" s="150" t="str">
        <f>IF(COUNTIFS('Order Level'!$I:$I,"delivered",'Order Level'!$G:$G,'Discounts Summary'!$C32)=0,"",COUNTIFS('Order Level'!$I:$I,"delivered",'Order Level'!$G:$G,'Discounts Summary'!$C32))</f>
        <v/>
      </c>
      <c r="E32" s="151" t="str">
        <f>IF(SUMIFS('Order Level'!$O:$O,'Order Level'!$I:$I,"Delivered",'Order Level'!$G:$G,'Discounts Summary'!$C32)=0,"",SUMIFS('Order Level'!$O:$O,'Order Level'!$I:$I,"Delivered",'Order Level'!$G:$G,'Discounts Summary'!$C32))</f>
        <v/>
      </c>
      <c r="F32" s="151" t="str">
        <f>IF(SUMIF('Order Level'!$G:$G,$C32,'Order Level'!R:R)=0,"",SUMIF('Order Level'!$G:$G,$C32,'Order Level'!R:R))</f>
        <v/>
      </c>
      <c r="G32" s="151" t="str">
        <f t="shared" si="0"/>
        <v/>
      </c>
      <c r="H32" s="152" t="str">
        <f t="shared" si="1"/>
        <v/>
      </c>
      <c r="I32" s="3"/>
      <c r="J32" s="3"/>
      <c r="K32" s="3"/>
      <c r="L32" s="3"/>
      <c r="M32" s="3"/>
      <c r="N32" s="3"/>
      <c r="O32" s="3"/>
      <c r="P32" s="3"/>
      <c r="Q32" s="3"/>
      <c r="R32" s="3"/>
      <c r="S32" s="3"/>
      <c r="T32" s="3"/>
      <c r="U32" s="3"/>
      <c r="V32" s="3"/>
      <c r="W32" s="3"/>
      <c r="X32" s="3"/>
      <c r="Y32" s="3"/>
      <c r="Z32" s="3"/>
    </row>
    <row r="33" spans="1:26" ht="15.75" customHeight="1">
      <c r="A33" s="3"/>
      <c r="B33" s="3"/>
      <c r="C33" s="149"/>
      <c r="D33" s="150" t="str">
        <f>IF(COUNTIFS('Order Level'!$I:$I,"delivered",'Order Level'!$G:$G,'Discounts Summary'!$C33)=0,"",COUNTIFS('Order Level'!$I:$I,"delivered",'Order Level'!$G:$G,'Discounts Summary'!$C33))</f>
        <v/>
      </c>
      <c r="E33" s="151" t="str">
        <f>IF(SUMIFS('Order Level'!$O:$O,'Order Level'!$I:$I,"Delivered",'Order Level'!$G:$G,'Discounts Summary'!$C33)=0,"",SUMIFS('Order Level'!$O:$O,'Order Level'!$I:$I,"Delivered",'Order Level'!$G:$G,'Discounts Summary'!$C33))</f>
        <v/>
      </c>
      <c r="F33" s="151" t="str">
        <f>IF(SUMIF('Order Level'!$G:$G,$C33,'Order Level'!R:R)=0,"",SUMIF('Order Level'!$G:$G,$C33,'Order Level'!R:R))</f>
        <v/>
      </c>
      <c r="G33" s="151" t="str">
        <f t="shared" si="0"/>
        <v/>
      </c>
      <c r="H33" s="152" t="str">
        <f t="shared" si="1"/>
        <v/>
      </c>
      <c r="I33" s="3"/>
      <c r="J33" s="3"/>
      <c r="K33" s="3"/>
      <c r="L33" s="3"/>
      <c r="M33" s="3"/>
      <c r="N33" s="3"/>
      <c r="O33" s="3"/>
      <c r="P33" s="3"/>
      <c r="Q33" s="3"/>
      <c r="R33" s="3"/>
      <c r="S33" s="3"/>
      <c r="T33" s="3"/>
      <c r="U33" s="3"/>
      <c r="V33" s="3"/>
      <c r="W33" s="3"/>
      <c r="X33" s="3"/>
      <c r="Y33" s="3"/>
      <c r="Z33" s="3"/>
    </row>
    <row r="34" spans="1:26" ht="15.75" customHeight="1">
      <c r="A34" s="3"/>
      <c r="B34" s="3"/>
      <c r="C34" s="149"/>
      <c r="D34" s="150" t="str">
        <f>IF(COUNTIFS('Order Level'!$I:$I,"delivered",'Order Level'!$G:$G,'Discounts Summary'!$C34)=0,"",COUNTIFS('Order Level'!$I:$I,"delivered",'Order Level'!$G:$G,'Discounts Summary'!$C34))</f>
        <v/>
      </c>
      <c r="E34" s="151" t="str">
        <f>IF(SUMIFS('Order Level'!$O:$O,'Order Level'!$I:$I,"Delivered",'Order Level'!$G:$G,'Discounts Summary'!$C34)=0,"",SUMIFS('Order Level'!$O:$O,'Order Level'!$I:$I,"Delivered",'Order Level'!$G:$G,'Discounts Summary'!$C34))</f>
        <v/>
      </c>
      <c r="F34" s="151" t="str">
        <f>IF(SUMIF('Order Level'!$G:$G,$C34,'Order Level'!R:R)=0,"",SUMIF('Order Level'!$G:$G,$C34,'Order Level'!R:R))</f>
        <v/>
      </c>
      <c r="G34" s="151" t="str">
        <f t="shared" si="0"/>
        <v/>
      </c>
      <c r="H34" s="152" t="str">
        <f t="shared" si="1"/>
        <v/>
      </c>
      <c r="I34" s="3"/>
      <c r="J34" s="3"/>
      <c r="K34" s="3"/>
      <c r="L34" s="3"/>
      <c r="M34" s="3"/>
      <c r="N34" s="3"/>
      <c r="O34" s="3"/>
      <c r="P34" s="3"/>
      <c r="Q34" s="3"/>
      <c r="R34" s="3"/>
      <c r="S34" s="3"/>
      <c r="T34" s="3"/>
      <c r="U34" s="3"/>
      <c r="V34" s="3"/>
      <c r="W34" s="3"/>
      <c r="X34" s="3"/>
      <c r="Y34" s="3"/>
      <c r="Z34" s="3"/>
    </row>
    <row r="35" spans="1:26" ht="15.75" customHeight="1">
      <c r="A35" s="3"/>
      <c r="B35" s="3"/>
      <c r="C35" s="149"/>
      <c r="D35" s="150" t="str">
        <f>IF(COUNTIFS('Order Level'!$I:$I,"delivered",'Order Level'!$G:$G,'Discounts Summary'!$C35)=0,"",COUNTIFS('Order Level'!$I:$I,"delivered",'Order Level'!$G:$G,'Discounts Summary'!$C35))</f>
        <v/>
      </c>
      <c r="E35" s="151" t="str">
        <f>IF(SUMIFS('Order Level'!$O:$O,'Order Level'!$I:$I,"Delivered",'Order Level'!$G:$G,'Discounts Summary'!$C35)=0,"",SUMIFS('Order Level'!$O:$O,'Order Level'!$I:$I,"Delivered",'Order Level'!$G:$G,'Discounts Summary'!$C35))</f>
        <v/>
      </c>
      <c r="F35" s="151" t="str">
        <f>IF(SUMIF('Order Level'!$G:$G,$C35,'Order Level'!R:R)=0,"",SUMIF('Order Level'!$G:$G,$C35,'Order Level'!R:R))</f>
        <v/>
      </c>
      <c r="G35" s="151" t="str">
        <f t="shared" si="0"/>
        <v/>
      </c>
      <c r="H35" s="152" t="str">
        <f t="shared" si="1"/>
        <v/>
      </c>
      <c r="I35" s="3"/>
      <c r="J35" s="3"/>
      <c r="K35" s="3"/>
      <c r="L35" s="3"/>
      <c r="M35" s="3"/>
      <c r="N35" s="3"/>
      <c r="O35" s="3"/>
      <c r="P35" s="3"/>
      <c r="Q35" s="3"/>
      <c r="R35" s="3"/>
      <c r="S35" s="3"/>
      <c r="T35" s="3"/>
      <c r="U35" s="3"/>
      <c r="V35" s="3"/>
      <c r="W35" s="3"/>
      <c r="X35" s="3"/>
      <c r="Y35" s="3"/>
      <c r="Z35" s="3"/>
    </row>
    <row r="36" spans="1:26" ht="15.75" customHeight="1">
      <c r="A36" s="3"/>
      <c r="B36" s="3"/>
      <c r="C36" s="149"/>
      <c r="D36" s="150" t="str">
        <f>IF(COUNTIFS('Order Level'!$I:$I,"delivered",'Order Level'!$G:$G,'Discounts Summary'!$C36)=0,"",COUNTIFS('Order Level'!$I:$I,"delivered",'Order Level'!$G:$G,'Discounts Summary'!$C36))</f>
        <v/>
      </c>
      <c r="E36" s="151" t="str">
        <f>IF(SUMIFS('Order Level'!$O:$O,'Order Level'!$I:$I,"Delivered",'Order Level'!$G:$G,'Discounts Summary'!$C36)=0,"",SUMIFS('Order Level'!$O:$O,'Order Level'!$I:$I,"Delivered",'Order Level'!$G:$G,'Discounts Summary'!$C36))</f>
        <v/>
      </c>
      <c r="F36" s="151" t="str">
        <f>IF(SUMIF('Order Level'!$G:$G,$C36,'Order Level'!R:R)=0,"",SUMIF('Order Level'!$G:$G,$C36,'Order Level'!R:R))</f>
        <v/>
      </c>
      <c r="G36" s="151" t="str">
        <f t="shared" si="0"/>
        <v/>
      </c>
      <c r="H36" s="152" t="str">
        <f t="shared" si="1"/>
        <v/>
      </c>
      <c r="I36" s="3"/>
      <c r="J36" s="3"/>
      <c r="K36" s="3"/>
      <c r="L36" s="3"/>
      <c r="M36" s="3"/>
      <c r="N36" s="3"/>
      <c r="O36" s="3"/>
      <c r="P36" s="3"/>
      <c r="Q36" s="3"/>
      <c r="R36" s="3"/>
      <c r="S36" s="3"/>
      <c r="T36" s="3"/>
      <c r="U36" s="3"/>
      <c r="V36" s="3"/>
      <c r="W36" s="3"/>
      <c r="X36" s="3"/>
      <c r="Y36" s="3"/>
      <c r="Z36" s="3"/>
    </row>
    <row r="37" spans="1:26" ht="15.75" customHeight="1">
      <c r="A37" s="3"/>
      <c r="B37" s="3"/>
      <c r="C37" s="149"/>
      <c r="D37" s="150" t="str">
        <f>IF(COUNTIFS('Order Level'!$I:$I,"delivered",'Order Level'!$G:$G,'Discounts Summary'!$C37)=0,"",COUNTIFS('Order Level'!$I:$I,"delivered",'Order Level'!$G:$G,'Discounts Summary'!$C37))</f>
        <v/>
      </c>
      <c r="E37" s="151" t="str">
        <f>IF(SUMIFS('Order Level'!$O:$O,'Order Level'!$I:$I,"Delivered",'Order Level'!$G:$G,'Discounts Summary'!$C37)=0,"",SUMIFS('Order Level'!$O:$O,'Order Level'!$I:$I,"Delivered",'Order Level'!$G:$G,'Discounts Summary'!$C37))</f>
        <v/>
      </c>
      <c r="F37" s="151" t="str">
        <f>IF(SUMIF('Order Level'!$G:$G,$C37,'Order Level'!R:R)=0,"",SUMIF('Order Level'!$G:$G,$C37,'Order Level'!R:R))</f>
        <v/>
      </c>
      <c r="G37" s="151" t="str">
        <f t="shared" si="0"/>
        <v/>
      </c>
      <c r="H37" s="152" t="str">
        <f t="shared" si="1"/>
        <v/>
      </c>
      <c r="I37" s="3"/>
      <c r="J37" s="3"/>
      <c r="K37" s="3"/>
      <c r="L37" s="3"/>
      <c r="M37" s="3"/>
      <c r="N37" s="3"/>
      <c r="O37" s="3"/>
      <c r="P37" s="3"/>
      <c r="Q37" s="3"/>
      <c r="R37" s="3"/>
      <c r="S37" s="3"/>
      <c r="T37" s="3"/>
      <c r="U37" s="3"/>
      <c r="V37" s="3"/>
      <c r="W37" s="3"/>
      <c r="X37" s="3"/>
      <c r="Y37" s="3"/>
      <c r="Z37" s="3"/>
    </row>
    <row r="38" spans="1:26" ht="15.75" customHeight="1">
      <c r="A38" s="3"/>
      <c r="B38" s="3"/>
      <c r="C38" s="149"/>
      <c r="D38" s="150" t="str">
        <f>IF(COUNTIFS('Order Level'!$I:$I,"delivered",'Order Level'!$G:$G,'Discounts Summary'!$C38)=0,"",COUNTIFS('Order Level'!$I:$I,"delivered",'Order Level'!$G:$G,'Discounts Summary'!$C38))</f>
        <v/>
      </c>
      <c r="E38" s="151" t="str">
        <f>IF(SUMIFS('Order Level'!$O:$O,'Order Level'!$I:$I,"Delivered",'Order Level'!$G:$G,'Discounts Summary'!$C38)=0,"",SUMIFS('Order Level'!$O:$O,'Order Level'!$I:$I,"Delivered",'Order Level'!$G:$G,'Discounts Summary'!$C38))</f>
        <v/>
      </c>
      <c r="F38" s="151" t="str">
        <f>IF(SUMIF('Order Level'!$G:$G,$C38,'Order Level'!R:R)=0,"",SUMIF('Order Level'!$G:$G,$C38,'Order Level'!R:R))</f>
        <v/>
      </c>
      <c r="G38" s="151" t="str">
        <f t="shared" si="0"/>
        <v/>
      </c>
      <c r="H38" s="152" t="str">
        <f t="shared" si="1"/>
        <v/>
      </c>
      <c r="I38" s="3"/>
      <c r="J38" s="3"/>
      <c r="K38" s="3"/>
      <c r="L38" s="3"/>
      <c r="M38" s="3"/>
      <c r="N38" s="3"/>
      <c r="O38" s="3"/>
      <c r="P38" s="3"/>
      <c r="Q38" s="3"/>
      <c r="R38" s="3"/>
      <c r="S38" s="3"/>
      <c r="T38" s="3"/>
      <c r="U38" s="3"/>
      <c r="V38" s="3"/>
      <c r="W38" s="3"/>
      <c r="X38" s="3"/>
      <c r="Y38" s="3"/>
      <c r="Z38" s="3"/>
    </row>
    <row r="39" spans="1:26" ht="15.75" customHeight="1">
      <c r="A39" s="3"/>
      <c r="B39" s="3"/>
      <c r="C39" s="149"/>
      <c r="D39" s="150" t="str">
        <f>IF(COUNTIFS('Order Level'!$I:$I,"delivered",'Order Level'!$G:$G,'Discounts Summary'!$C39)=0,"",COUNTIFS('Order Level'!$I:$I,"delivered",'Order Level'!$G:$G,'Discounts Summary'!$C39))</f>
        <v/>
      </c>
      <c r="E39" s="151" t="str">
        <f>IF(SUMIFS('Order Level'!$O:$O,'Order Level'!$I:$I,"Delivered",'Order Level'!$G:$G,'Discounts Summary'!$C39)=0,"",SUMIFS('Order Level'!$O:$O,'Order Level'!$I:$I,"Delivered",'Order Level'!$G:$G,'Discounts Summary'!$C39))</f>
        <v/>
      </c>
      <c r="F39" s="151" t="str">
        <f>IF(SUMIF('Order Level'!$G:$G,$C39,'Order Level'!R:R)=0,"",SUMIF('Order Level'!$G:$G,$C39,'Order Level'!R:R))</f>
        <v/>
      </c>
      <c r="G39" s="151" t="str">
        <f t="shared" si="0"/>
        <v/>
      </c>
      <c r="H39" s="152" t="str">
        <f t="shared" si="1"/>
        <v/>
      </c>
      <c r="I39" s="3"/>
      <c r="J39" s="3"/>
      <c r="K39" s="3"/>
      <c r="L39" s="3"/>
      <c r="M39" s="3"/>
      <c r="N39" s="3"/>
      <c r="O39" s="3"/>
      <c r="P39" s="3"/>
      <c r="Q39" s="3"/>
      <c r="R39" s="3"/>
      <c r="S39" s="3"/>
      <c r="T39" s="3"/>
      <c r="U39" s="3"/>
      <c r="V39" s="3"/>
      <c r="W39" s="3"/>
      <c r="X39" s="3"/>
      <c r="Y39" s="3"/>
      <c r="Z39" s="3"/>
    </row>
    <row r="40" spans="1:26" ht="15.75" customHeight="1">
      <c r="A40" s="3"/>
      <c r="B40" s="3"/>
      <c r="C40" s="149"/>
      <c r="D40" s="150" t="str">
        <f>IF(COUNTIFS('Order Level'!$I:$I,"delivered",'Order Level'!$G:$G,'Discounts Summary'!$C40)=0,"",COUNTIFS('Order Level'!$I:$I,"delivered",'Order Level'!$G:$G,'Discounts Summary'!$C40))</f>
        <v/>
      </c>
      <c r="E40" s="151" t="str">
        <f>IF(SUMIFS('Order Level'!$O:$O,'Order Level'!$I:$I,"Delivered",'Order Level'!$G:$G,'Discounts Summary'!$C40)=0,"",SUMIFS('Order Level'!$O:$O,'Order Level'!$I:$I,"Delivered",'Order Level'!$G:$G,'Discounts Summary'!$C40))</f>
        <v/>
      </c>
      <c r="F40" s="151" t="str">
        <f>IF(SUMIF('Order Level'!$G:$G,$C40,'Order Level'!R:R)=0,"",SUMIF('Order Level'!$G:$G,$C40,'Order Level'!R:R))</f>
        <v/>
      </c>
      <c r="G40" s="151" t="str">
        <f t="shared" si="0"/>
        <v/>
      </c>
      <c r="H40" s="152" t="str">
        <f t="shared" si="1"/>
        <v/>
      </c>
      <c r="I40" s="3"/>
      <c r="J40" s="3"/>
      <c r="K40" s="3"/>
      <c r="L40" s="3"/>
      <c r="M40" s="3"/>
      <c r="N40" s="3"/>
      <c r="O40" s="3"/>
      <c r="P40" s="3"/>
      <c r="Q40" s="3"/>
      <c r="R40" s="3"/>
      <c r="S40" s="3"/>
      <c r="T40" s="3"/>
      <c r="U40" s="3"/>
      <c r="V40" s="3"/>
      <c r="W40" s="3"/>
      <c r="X40" s="3"/>
      <c r="Y40" s="3"/>
      <c r="Z40" s="3"/>
    </row>
    <row r="41" spans="1:26" ht="15.75" customHeight="1">
      <c r="A41" s="3"/>
      <c r="B41" s="3"/>
      <c r="C41" s="149"/>
      <c r="D41" s="150" t="str">
        <f>IF(COUNTIFS('Order Level'!$I:$I,"delivered",'Order Level'!$G:$G,'Discounts Summary'!$C41)=0,"",COUNTIFS('Order Level'!$I:$I,"delivered",'Order Level'!$G:$G,'Discounts Summary'!$C41))</f>
        <v/>
      </c>
      <c r="E41" s="151" t="str">
        <f>IF(SUMIFS('Order Level'!$O:$O,'Order Level'!$I:$I,"Delivered",'Order Level'!$G:$G,'Discounts Summary'!$C41)=0,"",SUMIFS('Order Level'!$O:$O,'Order Level'!$I:$I,"Delivered",'Order Level'!$G:$G,'Discounts Summary'!$C41))</f>
        <v/>
      </c>
      <c r="F41" s="151" t="str">
        <f>IF(SUMIF('Order Level'!$G:$G,$C41,'Order Level'!R:R)=0,"",SUMIF('Order Level'!$G:$G,$C41,'Order Level'!R:R))</f>
        <v/>
      </c>
      <c r="G41" s="151" t="str">
        <f t="shared" si="0"/>
        <v/>
      </c>
      <c r="H41" s="152" t="str">
        <f t="shared" si="1"/>
        <v/>
      </c>
      <c r="I41" s="3"/>
      <c r="J41" s="3"/>
      <c r="K41" s="3"/>
      <c r="L41" s="3"/>
      <c r="M41" s="3"/>
      <c r="N41" s="3"/>
      <c r="O41" s="3"/>
      <c r="P41" s="3"/>
      <c r="Q41" s="3"/>
      <c r="R41" s="3"/>
      <c r="S41" s="3"/>
      <c r="T41" s="3"/>
      <c r="U41" s="3"/>
      <c r="V41" s="3"/>
      <c r="W41" s="3"/>
      <c r="X41" s="3"/>
      <c r="Y41" s="3"/>
      <c r="Z41" s="3"/>
    </row>
    <row r="42" spans="1:26" ht="15.75" customHeight="1">
      <c r="A42" s="3"/>
      <c r="B42" s="3"/>
      <c r="C42" s="149"/>
      <c r="D42" s="150" t="str">
        <f>IF(COUNTIFS('Order Level'!$I:$I,"delivered",'Order Level'!$G:$G,'Discounts Summary'!$C42)=0,"",COUNTIFS('Order Level'!$I:$I,"delivered",'Order Level'!$G:$G,'Discounts Summary'!$C42))</f>
        <v/>
      </c>
      <c r="E42" s="151" t="str">
        <f>IF(SUMIFS('Order Level'!$O:$O,'Order Level'!$I:$I,"Delivered",'Order Level'!$G:$G,'Discounts Summary'!$C42)=0,"",SUMIFS('Order Level'!$O:$O,'Order Level'!$I:$I,"Delivered",'Order Level'!$G:$G,'Discounts Summary'!$C42))</f>
        <v/>
      </c>
      <c r="F42" s="151" t="str">
        <f>IF(SUMIF('Order Level'!$G:$G,$C42,'Order Level'!R:R)=0,"",SUMIF('Order Level'!$G:$G,$C42,'Order Level'!R:R))</f>
        <v/>
      </c>
      <c r="G42" s="151" t="str">
        <f t="shared" si="0"/>
        <v/>
      </c>
      <c r="H42" s="152" t="str">
        <f t="shared" si="1"/>
        <v/>
      </c>
      <c r="I42" s="3"/>
      <c r="J42" s="3"/>
      <c r="K42" s="3"/>
      <c r="L42" s="3"/>
      <c r="M42" s="3"/>
      <c r="N42" s="3"/>
      <c r="O42" s="3"/>
      <c r="P42" s="3"/>
      <c r="Q42" s="3"/>
      <c r="R42" s="3"/>
      <c r="S42" s="3"/>
      <c r="T42" s="3"/>
      <c r="U42" s="3"/>
      <c r="V42" s="3"/>
      <c r="W42" s="3"/>
      <c r="X42" s="3"/>
      <c r="Y42" s="3"/>
      <c r="Z42" s="3"/>
    </row>
    <row r="43" spans="1:26" ht="15.75" customHeight="1">
      <c r="A43" s="3"/>
      <c r="B43" s="3"/>
      <c r="C43" s="149"/>
      <c r="D43" s="150" t="str">
        <f>IF(COUNTIFS('Order Level'!$I:$I,"delivered",'Order Level'!$G:$G,'Discounts Summary'!$C43)=0,"",COUNTIFS('Order Level'!$I:$I,"delivered",'Order Level'!$G:$G,'Discounts Summary'!$C43))</f>
        <v/>
      </c>
      <c r="E43" s="151" t="str">
        <f>IF(SUMIFS('Order Level'!$O:$O,'Order Level'!$I:$I,"Delivered",'Order Level'!$G:$G,'Discounts Summary'!$C43)=0,"",SUMIFS('Order Level'!$O:$O,'Order Level'!$I:$I,"Delivered",'Order Level'!$G:$G,'Discounts Summary'!$C43))</f>
        <v/>
      </c>
      <c r="F43" s="151" t="str">
        <f>IF(SUMIF('Order Level'!$G:$G,$C43,'Order Level'!R:R)=0,"",SUMIF('Order Level'!$G:$G,$C43,'Order Level'!R:R))</f>
        <v/>
      </c>
      <c r="G43" s="151" t="str">
        <f t="shared" si="0"/>
        <v/>
      </c>
      <c r="H43" s="152" t="str">
        <f t="shared" si="1"/>
        <v/>
      </c>
      <c r="I43" s="3"/>
      <c r="J43" s="3"/>
      <c r="K43" s="3"/>
      <c r="L43" s="3"/>
      <c r="M43" s="3"/>
      <c r="N43" s="3"/>
      <c r="O43" s="3"/>
      <c r="P43" s="3"/>
      <c r="Q43" s="3"/>
      <c r="R43" s="3"/>
      <c r="S43" s="3"/>
      <c r="T43" s="3"/>
      <c r="U43" s="3"/>
      <c r="V43" s="3"/>
      <c r="W43" s="3"/>
      <c r="X43" s="3"/>
      <c r="Y43" s="3"/>
      <c r="Z43" s="3"/>
    </row>
    <row r="44" spans="1:26" ht="15.75" customHeight="1">
      <c r="A44" s="3"/>
      <c r="B44" s="3"/>
      <c r="C44" s="149"/>
      <c r="D44" s="150" t="str">
        <f>IF(COUNTIFS('Order Level'!$I:$I,"delivered",'Order Level'!$G:$G,'Discounts Summary'!$C44)=0,"",COUNTIFS('Order Level'!$I:$I,"delivered",'Order Level'!$G:$G,'Discounts Summary'!$C44))</f>
        <v/>
      </c>
      <c r="E44" s="151" t="str">
        <f>IF(SUMIFS('Order Level'!$O:$O,'Order Level'!$I:$I,"Delivered",'Order Level'!$G:$G,'Discounts Summary'!$C44)=0,"",SUMIFS('Order Level'!$O:$O,'Order Level'!$I:$I,"Delivered",'Order Level'!$G:$G,'Discounts Summary'!$C44))</f>
        <v/>
      </c>
      <c r="F44" s="151" t="str">
        <f>IF(SUMIF('Order Level'!$G:$G,$C44,'Order Level'!R:R)=0,"",SUMIF('Order Level'!$G:$G,$C44,'Order Level'!R:R))</f>
        <v/>
      </c>
      <c r="G44" s="151" t="str">
        <f t="shared" si="0"/>
        <v/>
      </c>
      <c r="H44" s="152" t="str">
        <f t="shared" si="1"/>
        <v/>
      </c>
      <c r="I44" s="3"/>
      <c r="J44" s="3"/>
      <c r="K44" s="3"/>
      <c r="L44" s="3"/>
      <c r="M44" s="3"/>
      <c r="N44" s="3"/>
      <c r="O44" s="3"/>
      <c r="P44" s="3"/>
      <c r="Q44" s="3"/>
      <c r="R44" s="3"/>
      <c r="S44" s="3"/>
      <c r="T44" s="3"/>
      <c r="U44" s="3"/>
      <c r="V44" s="3"/>
      <c r="W44" s="3"/>
      <c r="X44" s="3"/>
      <c r="Y44" s="3"/>
      <c r="Z44" s="3"/>
    </row>
    <row r="45" spans="1:26" ht="15.75" customHeight="1">
      <c r="A45" s="3"/>
      <c r="B45" s="3"/>
      <c r="C45" s="149"/>
      <c r="D45" s="150" t="str">
        <f>IF(COUNTIFS('Order Level'!$I:$I,"delivered",'Order Level'!$G:$G,'Discounts Summary'!$C45)=0,"",COUNTIFS('Order Level'!$I:$I,"delivered",'Order Level'!$G:$G,'Discounts Summary'!$C45))</f>
        <v/>
      </c>
      <c r="E45" s="151" t="str">
        <f>IF(SUMIFS('Order Level'!$O:$O,'Order Level'!$I:$I,"Delivered",'Order Level'!$G:$G,'Discounts Summary'!$C45)=0,"",SUMIFS('Order Level'!$O:$O,'Order Level'!$I:$I,"Delivered",'Order Level'!$G:$G,'Discounts Summary'!$C45))</f>
        <v/>
      </c>
      <c r="F45" s="151" t="str">
        <f>IF(SUMIF('Order Level'!$G:$G,$C45,'Order Level'!R:R)=0,"",SUMIF('Order Level'!$G:$G,$C45,'Order Level'!R:R))</f>
        <v/>
      </c>
      <c r="G45" s="151" t="str">
        <f t="shared" si="0"/>
        <v/>
      </c>
      <c r="H45" s="152" t="str">
        <f t="shared" si="1"/>
        <v/>
      </c>
      <c r="I45" s="3"/>
      <c r="J45" s="3"/>
      <c r="K45" s="3"/>
      <c r="L45" s="3"/>
      <c r="M45" s="3"/>
      <c r="N45" s="3"/>
      <c r="O45" s="3"/>
      <c r="P45" s="3"/>
      <c r="Q45" s="3"/>
      <c r="R45" s="3"/>
      <c r="S45" s="3"/>
      <c r="T45" s="3"/>
      <c r="U45" s="3"/>
      <c r="V45" s="3"/>
      <c r="W45" s="3"/>
      <c r="X45" s="3"/>
      <c r="Y45" s="3"/>
      <c r="Z45" s="3"/>
    </row>
    <row r="46" spans="1:26" ht="15.75" customHeight="1">
      <c r="A46" s="3"/>
      <c r="B46" s="3"/>
      <c r="C46" s="149"/>
      <c r="D46" s="150" t="str">
        <f>IF(COUNTIFS('Order Level'!$I:$I,"delivered",'Order Level'!$G:$G,'Discounts Summary'!$C46)=0,"",COUNTIFS('Order Level'!$I:$I,"delivered",'Order Level'!$G:$G,'Discounts Summary'!$C46))</f>
        <v/>
      </c>
      <c r="E46" s="151" t="str">
        <f>IF(SUMIFS('Order Level'!$O:$O,'Order Level'!$I:$I,"Delivered",'Order Level'!$G:$G,'Discounts Summary'!$C46)=0,"",SUMIFS('Order Level'!$O:$O,'Order Level'!$I:$I,"Delivered",'Order Level'!$G:$G,'Discounts Summary'!$C46))</f>
        <v/>
      </c>
      <c r="F46" s="151" t="str">
        <f>IF(SUMIF('Order Level'!$G:$G,$C46,'Order Level'!R:R)=0,"",SUMIF('Order Level'!$G:$G,$C46,'Order Level'!R:R))</f>
        <v/>
      </c>
      <c r="G46" s="151" t="str">
        <f t="shared" si="0"/>
        <v/>
      </c>
      <c r="H46" s="152" t="str">
        <f t="shared" si="1"/>
        <v/>
      </c>
      <c r="I46" s="3"/>
      <c r="J46" s="3"/>
      <c r="K46" s="3"/>
      <c r="L46" s="3"/>
      <c r="M46" s="3"/>
      <c r="N46" s="3"/>
      <c r="O46" s="3"/>
      <c r="P46" s="3"/>
      <c r="Q46" s="3"/>
      <c r="R46" s="3"/>
      <c r="S46" s="3"/>
      <c r="T46" s="3"/>
      <c r="U46" s="3"/>
      <c r="V46" s="3"/>
      <c r="W46" s="3"/>
      <c r="X46" s="3"/>
      <c r="Y46" s="3"/>
      <c r="Z46" s="3"/>
    </row>
    <row r="47" spans="1:26" ht="15.75" customHeight="1">
      <c r="A47" s="3"/>
      <c r="B47" s="3"/>
      <c r="C47" s="149"/>
      <c r="D47" s="150" t="str">
        <f>IF(COUNTIFS('Order Level'!$I:$I,"delivered",'Order Level'!$G:$G,'Discounts Summary'!$C47)=0,"",COUNTIFS('Order Level'!$I:$I,"delivered",'Order Level'!$G:$G,'Discounts Summary'!$C47))</f>
        <v/>
      </c>
      <c r="E47" s="151" t="str">
        <f>IF(SUMIFS('Order Level'!$O:$O,'Order Level'!$I:$I,"Delivered",'Order Level'!$G:$G,'Discounts Summary'!$C47)=0,"",SUMIFS('Order Level'!$O:$O,'Order Level'!$I:$I,"Delivered",'Order Level'!$G:$G,'Discounts Summary'!$C47))</f>
        <v/>
      </c>
      <c r="F47" s="151" t="str">
        <f>IF(SUMIF('Order Level'!$G:$G,$C47,'Order Level'!R:R)=0,"",SUMIF('Order Level'!$G:$G,$C47,'Order Level'!R:R))</f>
        <v/>
      </c>
      <c r="G47" s="151" t="str">
        <f t="shared" si="0"/>
        <v/>
      </c>
      <c r="H47" s="152" t="str">
        <f t="shared" si="1"/>
        <v/>
      </c>
      <c r="I47" s="3"/>
      <c r="J47" s="3"/>
      <c r="K47" s="3"/>
      <c r="L47" s="3"/>
      <c r="M47" s="3"/>
      <c r="N47" s="3"/>
      <c r="O47" s="3"/>
      <c r="P47" s="3"/>
      <c r="Q47" s="3"/>
      <c r="R47" s="3"/>
      <c r="S47" s="3"/>
      <c r="T47" s="3"/>
      <c r="U47" s="3"/>
      <c r="V47" s="3"/>
      <c r="W47" s="3"/>
      <c r="X47" s="3"/>
      <c r="Y47" s="3"/>
      <c r="Z47" s="3"/>
    </row>
    <row r="48" spans="1:26" ht="15.75" customHeight="1">
      <c r="A48" s="3"/>
      <c r="B48" s="3"/>
      <c r="C48" s="149"/>
      <c r="D48" s="150" t="str">
        <f>IF(COUNTIFS('Order Level'!$I:$I,"delivered",'Order Level'!$G:$G,'Discounts Summary'!$C48)=0,"",COUNTIFS('Order Level'!$I:$I,"delivered",'Order Level'!$G:$G,'Discounts Summary'!$C48))</f>
        <v/>
      </c>
      <c r="E48" s="151" t="str">
        <f>IF(SUMIFS('Order Level'!$O:$O,'Order Level'!$I:$I,"Delivered",'Order Level'!$G:$G,'Discounts Summary'!$C48)=0,"",SUMIFS('Order Level'!$O:$O,'Order Level'!$I:$I,"Delivered",'Order Level'!$G:$G,'Discounts Summary'!$C48))</f>
        <v/>
      </c>
      <c r="F48" s="151" t="str">
        <f>IF(SUMIF('Order Level'!$G:$G,$C48,'Order Level'!R:R)=0,"",SUMIF('Order Level'!$G:$G,$C48,'Order Level'!R:R))</f>
        <v/>
      </c>
      <c r="G48" s="151" t="str">
        <f t="shared" si="0"/>
        <v/>
      </c>
      <c r="H48" s="152" t="str">
        <f t="shared" si="1"/>
        <v/>
      </c>
      <c r="I48" s="3"/>
      <c r="J48" s="3"/>
      <c r="K48" s="3"/>
      <c r="L48" s="3"/>
      <c r="M48" s="3"/>
      <c r="N48" s="3"/>
      <c r="O48" s="3"/>
      <c r="P48" s="3"/>
      <c r="Q48" s="3"/>
      <c r="R48" s="3"/>
      <c r="S48" s="3"/>
      <c r="T48" s="3"/>
      <c r="U48" s="3"/>
      <c r="V48" s="3"/>
      <c r="W48" s="3"/>
      <c r="X48" s="3"/>
      <c r="Y48" s="3"/>
      <c r="Z48" s="3"/>
    </row>
    <row r="49" spans="1:26" ht="12"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row r="250" spans="1:26" ht="15.75" customHeight="1"/>
    <row r="251" spans="1:26" ht="15.75" customHeight="1"/>
    <row r="252" spans="1:26" ht="15.75" customHeight="1"/>
    <row r="253" spans="1:26" ht="15.75" customHeight="1"/>
    <row r="254" spans="1:26" ht="15.75" customHeight="1"/>
    <row r="255" spans="1:26" ht="15.75" customHeight="1"/>
    <row r="256" spans="1:2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H1"/>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985E9"/>
    <outlinePr summaryBelow="0" summaryRight="0"/>
  </sheetPr>
  <dimension ref="A1:Z1000"/>
  <sheetViews>
    <sheetView showGridLines="0" workbookViewId="0"/>
  </sheetViews>
  <sheetFormatPr defaultColWidth="12.59765625" defaultRowHeight="15" customHeight="1"/>
  <cols>
    <col min="1" max="1" width="12.59765625" customWidth="1"/>
    <col min="2" max="2" width="41.59765625" customWidth="1"/>
    <col min="3" max="3" width="92.8984375" customWidth="1"/>
    <col min="4" max="23" width="12.59765625" customWidth="1"/>
  </cols>
  <sheetData>
    <row r="1" spans="1:26" ht="24.75" customHeight="1">
      <c r="A1" s="194" t="s">
        <v>30</v>
      </c>
      <c r="B1" s="195"/>
      <c r="C1" s="195"/>
      <c r="D1" s="153"/>
      <c r="E1" s="153"/>
      <c r="F1" s="153"/>
      <c r="G1" s="153"/>
      <c r="H1" s="153"/>
      <c r="I1" s="153"/>
      <c r="J1" s="153"/>
      <c r="K1" s="153"/>
      <c r="L1" s="153"/>
      <c r="M1" s="153"/>
      <c r="N1" s="153"/>
      <c r="O1" s="153"/>
      <c r="P1" s="153"/>
      <c r="Q1" s="153"/>
      <c r="R1" s="153"/>
      <c r="S1" s="153"/>
      <c r="T1" s="153"/>
      <c r="U1" s="153"/>
      <c r="V1" s="153"/>
      <c r="W1" s="153"/>
      <c r="X1" s="154"/>
      <c r="Y1" s="154"/>
      <c r="Z1" s="154"/>
    </row>
    <row r="2" spans="1:26" ht="24.75" customHeight="1">
      <c r="A2" s="155" t="str">
        <f>Summary!C30</f>
        <v>Descriptions of the terms used in the Order Level tab</v>
      </c>
      <c r="B2" s="156"/>
      <c r="C2" s="156"/>
      <c r="D2" s="153"/>
      <c r="E2" s="153"/>
      <c r="F2" s="153"/>
      <c r="G2" s="153"/>
      <c r="H2" s="153"/>
      <c r="I2" s="153"/>
      <c r="J2" s="153"/>
      <c r="K2" s="153"/>
      <c r="L2" s="153"/>
      <c r="M2" s="153"/>
      <c r="N2" s="153"/>
      <c r="O2" s="153"/>
      <c r="P2" s="153"/>
      <c r="Q2" s="153"/>
      <c r="R2" s="153"/>
      <c r="S2" s="153"/>
      <c r="T2" s="153"/>
      <c r="U2" s="153"/>
      <c r="V2" s="153"/>
      <c r="W2" s="153"/>
      <c r="X2" s="154"/>
      <c r="Y2" s="154"/>
      <c r="Z2" s="154"/>
    </row>
    <row r="3" spans="1:26" ht="27.75" customHeight="1">
      <c r="A3" s="157" t="s">
        <v>157</v>
      </c>
      <c r="B3" s="158" t="s">
        <v>158</v>
      </c>
      <c r="C3" s="158" t="s">
        <v>159</v>
      </c>
      <c r="D3" s="153"/>
      <c r="E3" s="153"/>
      <c r="F3" s="153"/>
      <c r="G3" s="153"/>
      <c r="H3" s="153"/>
      <c r="I3" s="153"/>
      <c r="J3" s="153"/>
      <c r="K3" s="153"/>
      <c r="L3" s="153"/>
      <c r="M3" s="153"/>
      <c r="N3" s="153"/>
      <c r="O3" s="153"/>
      <c r="P3" s="153"/>
      <c r="Q3" s="153"/>
      <c r="R3" s="153"/>
      <c r="S3" s="153"/>
      <c r="T3" s="153"/>
      <c r="U3" s="153"/>
      <c r="V3" s="153"/>
      <c r="W3" s="153"/>
      <c r="X3" s="154"/>
      <c r="Y3" s="154"/>
      <c r="Z3" s="154"/>
    </row>
    <row r="4" spans="1:26">
      <c r="A4" s="159">
        <v>1</v>
      </c>
      <c r="B4" s="85" t="s">
        <v>113</v>
      </c>
      <c r="C4" s="160" t="s">
        <v>160</v>
      </c>
      <c r="D4" s="153"/>
      <c r="E4" s="153"/>
      <c r="F4" s="153"/>
      <c r="G4" s="153"/>
      <c r="H4" s="153"/>
      <c r="I4" s="153"/>
      <c r="J4" s="153"/>
      <c r="K4" s="153"/>
      <c r="L4" s="153"/>
      <c r="M4" s="153"/>
      <c r="N4" s="153"/>
      <c r="O4" s="153"/>
      <c r="P4" s="153"/>
      <c r="Q4" s="153"/>
      <c r="R4" s="153"/>
      <c r="S4" s="153"/>
      <c r="T4" s="153"/>
      <c r="U4" s="153"/>
      <c r="V4" s="153"/>
      <c r="W4" s="153"/>
      <c r="X4" s="154"/>
      <c r="Y4" s="154"/>
      <c r="Z4" s="154"/>
    </row>
    <row r="5" spans="1:26">
      <c r="A5" s="159">
        <v>2</v>
      </c>
      <c r="B5" s="85" t="s">
        <v>114</v>
      </c>
      <c r="C5" s="160" t="s">
        <v>161</v>
      </c>
      <c r="D5" s="153"/>
      <c r="E5" s="153"/>
      <c r="F5" s="153"/>
      <c r="G5" s="153"/>
      <c r="H5" s="153"/>
      <c r="I5" s="153"/>
      <c r="J5" s="153"/>
      <c r="K5" s="153"/>
      <c r="L5" s="153"/>
      <c r="M5" s="153"/>
      <c r="N5" s="153"/>
      <c r="O5" s="153"/>
      <c r="P5" s="153"/>
      <c r="Q5" s="153"/>
      <c r="R5" s="153"/>
      <c r="S5" s="153"/>
      <c r="T5" s="153"/>
      <c r="U5" s="153"/>
      <c r="V5" s="153"/>
      <c r="W5" s="153"/>
      <c r="X5" s="154"/>
      <c r="Y5" s="154"/>
      <c r="Z5" s="154"/>
    </row>
    <row r="6" spans="1:26">
      <c r="A6" s="159">
        <v>3</v>
      </c>
      <c r="B6" s="85" t="s">
        <v>115</v>
      </c>
      <c r="C6" s="160" t="s">
        <v>162</v>
      </c>
      <c r="D6" s="153"/>
      <c r="E6" s="153"/>
      <c r="F6" s="153"/>
      <c r="G6" s="153"/>
      <c r="H6" s="153"/>
      <c r="I6" s="153"/>
      <c r="J6" s="153"/>
      <c r="K6" s="153"/>
      <c r="L6" s="153"/>
      <c r="M6" s="153"/>
      <c r="N6" s="153"/>
      <c r="O6" s="153"/>
      <c r="P6" s="153"/>
      <c r="Q6" s="153"/>
      <c r="R6" s="153"/>
      <c r="S6" s="153"/>
      <c r="T6" s="153"/>
      <c r="U6" s="153"/>
      <c r="V6" s="153"/>
      <c r="W6" s="153"/>
      <c r="X6" s="154"/>
      <c r="Y6" s="154"/>
      <c r="Z6" s="154"/>
    </row>
    <row r="7" spans="1:26">
      <c r="A7" s="159">
        <v>4</v>
      </c>
      <c r="B7" s="85" t="s">
        <v>163</v>
      </c>
      <c r="C7" s="160" t="s">
        <v>164</v>
      </c>
      <c r="D7" s="153"/>
      <c r="E7" s="153"/>
      <c r="F7" s="153"/>
      <c r="G7" s="153"/>
      <c r="H7" s="153"/>
      <c r="I7" s="153"/>
      <c r="J7" s="153"/>
      <c r="K7" s="153"/>
      <c r="L7" s="153"/>
      <c r="M7" s="153"/>
      <c r="N7" s="153"/>
      <c r="O7" s="153"/>
      <c r="P7" s="153"/>
      <c r="Q7" s="153"/>
      <c r="R7" s="153"/>
      <c r="S7" s="153"/>
      <c r="T7" s="153"/>
      <c r="U7" s="153"/>
      <c r="V7" s="153"/>
      <c r="W7" s="153"/>
      <c r="X7" s="154"/>
      <c r="Y7" s="154"/>
      <c r="Z7" s="154"/>
    </row>
    <row r="8" spans="1:26">
      <c r="A8" s="159">
        <v>5</v>
      </c>
      <c r="B8" s="85" t="s">
        <v>165</v>
      </c>
      <c r="C8" s="160" t="s">
        <v>166</v>
      </c>
      <c r="D8" s="153"/>
      <c r="E8" s="153"/>
      <c r="F8" s="153"/>
      <c r="G8" s="153"/>
      <c r="H8" s="153"/>
      <c r="I8" s="153"/>
      <c r="J8" s="153"/>
      <c r="K8" s="153"/>
      <c r="L8" s="153"/>
      <c r="M8" s="153"/>
      <c r="N8" s="153"/>
      <c r="O8" s="153"/>
      <c r="P8" s="153"/>
      <c r="Q8" s="153"/>
      <c r="R8" s="153"/>
      <c r="S8" s="153"/>
      <c r="T8" s="153"/>
      <c r="U8" s="153"/>
      <c r="V8" s="153"/>
      <c r="W8" s="153"/>
      <c r="X8" s="154"/>
      <c r="Y8" s="154"/>
      <c r="Z8" s="154"/>
    </row>
    <row r="9" spans="1:26">
      <c r="A9" s="159">
        <v>6</v>
      </c>
      <c r="B9" s="85" t="s">
        <v>118</v>
      </c>
      <c r="C9" s="160" t="s">
        <v>167</v>
      </c>
      <c r="D9" s="153"/>
      <c r="E9" s="153"/>
      <c r="F9" s="153"/>
      <c r="G9" s="153"/>
      <c r="H9" s="153"/>
      <c r="I9" s="153"/>
      <c r="J9" s="153"/>
      <c r="K9" s="153"/>
      <c r="L9" s="153"/>
      <c r="M9" s="153"/>
      <c r="N9" s="153"/>
      <c r="O9" s="153"/>
      <c r="P9" s="153"/>
      <c r="Q9" s="153"/>
      <c r="R9" s="153"/>
      <c r="S9" s="153"/>
      <c r="T9" s="153"/>
      <c r="U9" s="153"/>
      <c r="V9" s="153"/>
      <c r="W9" s="153"/>
      <c r="X9" s="154"/>
      <c r="Y9" s="154"/>
      <c r="Z9" s="154"/>
    </row>
    <row r="10" spans="1:26">
      <c r="A10" s="159">
        <v>7</v>
      </c>
      <c r="B10" s="85" t="s">
        <v>168</v>
      </c>
      <c r="C10" s="160" t="s">
        <v>169</v>
      </c>
      <c r="D10" s="153"/>
      <c r="E10" s="153"/>
      <c r="F10" s="153"/>
      <c r="G10" s="153"/>
      <c r="H10" s="153"/>
      <c r="I10" s="153"/>
      <c r="J10" s="153"/>
      <c r="K10" s="153"/>
      <c r="L10" s="153"/>
      <c r="M10" s="153"/>
      <c r="N10" s="153"/>
      <c r="O10" s="153"/>
      <c r="P10" s="153"/>
      <c r="Q10" s="153"/>
      <c r="R10" s="153"/>
      <c r="S10" s="153"/>
      <c r="T10" s="153"/>
      <c r="U10" s="153"/>
      <c r="V10" s="153"/>
      <c r="W10" s="153"/>
      <c r="X10" s="154"/>
      <c r="Y10" s="154"/>
      <c r="Z10" s="154"/>
    </row>
    <row r="11" spans="1:26" ht="26.4">
      <c r="A11" s="159">
        <v>8</v>
      </c>
      <c r="B11" s="85" t="s">
        <v>120</v>
      </c>
      <c r="C11" s="160" t="s">
        <v>170</v>
      </c>
      <c r="D11" s="153"/>
      <c r="E11" s="153"/>
      <c r="F11" s="153"/>
      <c r="G11" s="153"/>
      <c r="H11" s="153"/>
      <c r="I11" s="153"/>
      <c r="J11" s="153"/>
      <c r="K11" s="153"/>
      <c r="L11" s="153"/>
      <c r="M11" s="153"/>
      <c r="N11" s="153"/>
      <c r="O11" s="153"/>
      <c r="P11" s="153"/>
      <c r="Q11" s="153"/>
      <c r="R11" s="153"/>
      <c r="S11" s="153"/>
      <c r="T11" s="153"/>
      <c r="U11" s="153"/>
      <c r="V11" s="153"/>
      <c r="W11" s="153"/>
      <c r="X11" s="154"/>
      <c r="Y11" s="154"/>
      <c r="Z11" s="154"/>
    </row>
    <row r="12" spans="1:26" ht="26.4">
      <c r="A12" s="159" t="s">
        <v>39</v>
      </c>
      <c r="B12" s="85" t="s">
        <v>171</v>
      </c>
      <c r="C12" s="160" t="s">
        <v>172</v>
      </c>
      <c r="D12" s="153"/>
      <c r="E12" s="153"/>
      <c r="F12" s="153"/>
      <c r="G12" s="153"/>
      <c r="H12" s="153"/>
      <c r="I12" s="153"/>
      <c r="J12" s="153"/>
      <c r="K12" s="153"/>
      <c r="L12" s="153"/>
      <c r="M12" s="153"/>
      <c r="N12" s="153"/>
      <c r="O12" s="153"/>
      <c r="P12" s="153"/>
      <c r="Q12" s="153"/>
      <c r="R12" s="153"/>
      <c r="S12" s="153"/>
      <c r="T12" s="153"/>
      <c r="U12" s="153"/>
      <c r="V12" s="153"/>
      <c r="W12" s="153"/>
      <c r="X12" s="154"/>
      <c r="Y12" s="154"/>
      <c r="Z12" s="154"/>
    </row>
    <row r="13" spans="1:26" ht="26.4">
      <c r="A13" s="159">
        <v>9</v>
      </c>
      <c r="B13" s="85" t="s">
        <v>173</v>
      </c>
      <c r="C13" s="160" t="s">
        <v>174</v>
      </c>
      <c r="D13" s="153"/>
      <c r="E13" s="153"/>
      <c r="F13" s="153"/>
      <c r="G13" s="153"/>
      <c r="H13" s="153"/>
      <c r="I13" s="153"/>
      <c r="J13" s="153"/>
      <c r="K13" s="153"/>
      <c r="L13" s="153"/>
      <c r="M13" s="153"/>
      <c r="N13" s="153"/>
      <c r="O13" s="153"/>
      <c r="P13" s="153"/>
      <c r="Q13" s="153"/>
      <c r="R13" s="153"/>
      <c r="S13" s="153"/>
      <c r="T13" s="153"/>
      <c r="U13" s="153"/>
      <c r="V13" s="153"/>
      <c r="W13" s="153"/>
      <c r="X13" s="154"/>
      <c r="Y13" s="154"/>
      <c r="Z13" s="154"/>
    </row>
    <row r="14" spans="1:26">
      <c r="A14" s="159">
        <v>10</v>
      </c>
      <c r="B14" s="85" t="s">
        <v>175</v>
      </c>
      <c r="C14" s="160" t="s">
        <v>176</v>
      </c>
      <c r="D14" s="153"/>
      <c r="E14" s="153"/>
      <c r="F14" s="153"/>
      <c r="G14" s="153"/>
      <c r="H14" s="153"/>
      <c r="I14" s="153"/>
      <c r="J14" s="153"/>
      <c r="K14" s="153"/>
      <c r="L14" s="153"/>
      <c r="M14" s="153"/>
      <c r="N14" s="153"/>
      <c r="O14" s="153"/>
      <c r="P14" s="153"/>
      <c r="Q14" s="153"/>
      <c r="R14" s="153"/>
      <c r="S14" s="153"/>
      <c r="T14" s="153"/>
      <c r="U14" s="153"/>
      <c r="V14" s="153"/>
      <c r="W14" s="153"/>
      <c r="X14" s="154"/>
      <c r="Y14" s="154"/>
      <c r="Z14" s="154"/>
    </row>
    <row r="15" spans="1:26" ht="26.4">
      <c r="A15" s="159">
        <v>11</v>
      </c>
      <c r="B15" s="85" t="s">
        <v>177</v>
      </c>
      <c r="C15" s="160" t="s">
        <v>178</v>
      </c>
      <c r="D15" s="153"/>
      <c r="E15" s="153"/>
      <c r="F15" s="153"/>
      <c r="G15" s="153"/>
      <c r="H15" s="153"/>
      <c r="I15" s="153"/>
      <c r="J15" s="153"/>
      <c r="K15" s="153"/>
      <c r="L15" s="153"/>
      <c r="M15" s="153"/>
      <c r="N15" s="153"/>
      <c r="O15" s="153"/>
      <c r="P15" s="153"/>
      <c r="Q15" s="153"/>
      <c r="R15" s="153"/>
      <c r="S15" s="153"/>
      <c r="T15" s="153"/>
      <c r="U15" s="153"/>
      <c r="V15" s="153"/>
      <c r="W15" s="153"/>
      <c r="X15" s="154"/>
      <c r="Y15" s="154"/>
      <c r="Z15" s="154"/>
    </row>
    <row r="16" spans="1:26" ht="26.4">
      <c r="A16" s="159">
        <v>12</v>
      </c>
      <c r="B16" s="85" t="s">
        <v>179</v>
      </c>
      <c r="C16" s="160" t="s">
        <v>180</v>
      </c>
      <c r="D16" s="153"/>
      <c r="E16" s="153"/>
      <c r="F16" s="153"/>
      <c r="G16" s="153"/>
      <c r="H16" s="153"/>
      <c r="I16" s="153"/>
      <c r="J16" s="153"/>
      <c r="K16" s="153"/>
      <c r="L16" s="153"/>
      <c r="M16" s="153"/>
      <c r="N16" s="153"/>
      <c r="O16" s="153"/>
      <c r="P16" s="153"/>
      <c r="Q16" s="153"/>
      <c r="R16" s="153"/>
      <c r="S16" s="153"/>
      <c r="T16" s="153"/>
      <c r="U16" s="153"/>
      <c r="V16" s="153"/>
      <c r="W16" s="153"/>
      <c r="X16" s="154"/>
      <c r="Y16" s="154"/>
      <c r="Z16" s="154"/>
    </row>
    <row r="17" spans="1:26">
      <c r="A17" s="159" t="s">
        <v>52</v>
      </c>
      <c r="B17" s="85" t="s">
        <v>181</v>
      </c>
      <c r="C17" s="160" t="s">
        <v>182</v>
      </c>
      <c r="D17" s="153"/>
      <c r="E17" s="153"/>
      <c r="F17" s="153"/>
      <c r="G17" s="153"/>
      <c r="H17" s="153"/>
      <c r="I17" s="153"/>
      <c r="J17" s="153"/>
      <c r="K17" s="153"/>
      <c r="L17" s="153"/>
      <c r="M17" s="153"/>
      <c r="N17" s="153"/>
      <c r="O17" s="153"/>
      <c r="P17" s="153"/>
      <c r="Q17" s="153"/>
      <c r="R17" s="153"/>
      <c r="S17" s="153"/>
      <c r="T17" s="153"/>
      <c r="U17" s="153"/>
      <c r="V17" s="153"/>
      <c r="W17" s="153"/>
      <c r="X17" s="154"/>
      <c r="Y17" s="154"/>
      <c r="Z17" s="154"/>
    </row>
    <row r="18" spans="1:26" ht="26.4">
      <c r="A18" s="159">
        <v>13</v>
      </c>
      <c r="B18" s="85" t="s">
        <v>128</v>
      </c>
      <c r="C18" s="160" t="s">
        <v>183</v>
      </c>
      <c r="D18" s="153"/>
      <c r="E18" s="153"/>
      <c r="F18" s="153"/>
      <c r="G18" s="153"/>
      <c r="H18" s="153"/>
      <c r="I18" s="153"/>
      <c r="J18" s="153"/>
      <c r="K18" s="153"/>
      <c r="L18" s="153"/>
      <c r="M18" s="153"/>
      <c r="N18" s="153"/>
      <c r="O18" s="153"/>
      <c r="P18" s="153"/>
      <c r="Q18" s="153"/>
      <c r="R18" s="153"/>
      <c r="S18" s="153"/>
      <c r="T18" s="153"/>
      <c r="U18" s="153"/>
      <c r="V18" s="153"/>
      <c r="W18" s="153"/>
      <c r="X18" s="154"/>
      <c r="Y18" s="154"/>
      <c r="Z18" s="154"/>
    </row>
    <row r="19" spans="1:26" ht="26.4">
      <c r="A19" s="159">
        <v>14</v>
      </c>
      <c r="B19" s="85" t="s">
        <v>129</v>
      </c>
      <c r="C19" s="160" t="s">
        <v>184</v>
      </c>
      <c r="D19" s="153"/>
      <c r="E19" s="153"/>
      <c r="F19" s="153"/>
      <c r="G19" s="153"/>
      <c r="H19" s="153"/>
      <c r="I19" s="153"/>
      <c r="J19" s="153"/>
      <c r="K19" s="153"/>
      <c r="L19" s="153"/>
      <c r="M19" s="153"/>
      <c r="N19" s="153"/>
      <c r="O19" s="153"/>
      <c r="P19" s="153"/>
      <c r="Q19" s="153"/>
      <c r="R19" s="153"/>
      <c r="S19" s="153"/>
      <c r="T19" s="153"/>
      <c r="U19" s="153"/>
      <c r="V19" s="153"/>
      <c r="W19" s="153"/>
      <c r="X19" s="154"/>
      <c r="Y19" s="154"/>
      <c r="Z19" s="154"/>
    </row>
    <row r="20" spans="1:26">
      <c r="A20" s="159">
        <v>15</v>
      </c>
      <c r="B20" s="85" t="s">
        <v>185</v>
      </c>
      <c r="C20" s="160" t="s">
        <v>186</v>
      </c>
      <c r="D20" s="153"/>
      <c r="E20" s="153"/>
      <c r="F20" s="153"/>
      <c r="G20" s="153"/>
      <c r="H20" s="153"/>
      <c r="I20" s="153"/>
      <c r="J20" s="153"/>
      <c r="K20" s="153"/>
      <c r="L20" s="153"/>
      <c r="M20" s="153"/>
      <c r="N20" s="153"/>
      <c r="O20" s="153"/>
      <c r="P20" s="153"/>
      <c r="Q20" s="153"/>
      <c r="R20" s="153"/>
      <c r="S20" s="153"/>
      <c r="T20" s="153"/>
      <c r="U20" s="153"/>
      <c r="V20" s="153"/>
      <c r="W20" s="153"/>
      <c r="X20" s="154"/>
      <c r="Y20" s="154"/>
      <c r="Z20" s="154"/>
    </row>
    <row r="21" spans="1:26" ht="15.75" customHeight="1">
      <c r="A21" s="159">
        <v>16</v>
      </c>
      <c r="B21" s="85" t="s">
        <v>187</v>
      </c>
      <c r="C21" s="160" t="s">
        <v>188</v>
      </c>
      <c r="D21" s="153"/>
      <c r="E21" s="153"/>
      <c r="F21" s="153"/>
      <c r="G21" s="153"/>
      <c r="H21" s="153"/>
      <c r="I21" s="153"/>
      <c r="J21" s="153"/>
      <c r="K21" s="153"/>
      <c r="L21" s="153"/>
      <c r="M21" s="153"/>
      <c r="N21" s="153"/>
      <c r="O21" s="153"/>
      <c r="P21" s="153"/>
      <c r="Q21" s="153"/>
      <c r="R21" s="153"/>
      <c r="S21" s="153"/>
      <c r="T21" s="153"/>
      <c r="U21" s="153"/>
      <c r="V21" s="153"/>
      <c r="W21" s="153"/>
      <c r="X21" s="154"/>
      <c r="Y21" s="154"/>
      <c r="Z21" s="154"/>
    </row>
    <row r="22" spans="1:26" ht="15.75" customHeight="1">
      <c r="A22" s="159">
        <v>17</v>
      </c>
      <c r="B22" s="85" t="s">
        <v>131</v>
      </c>
      <c r="C22" s="160" t="s">
        <v>189</v>
      </c>
      <c r="D22" s="153"/>
      <c r="E22" s="153"/>
      <c r="F22" s="153"/>
      <c r="G22" s="153"/>
      <c r="H22" s="153"/>
      <c r="I22" s="153"/>
      <c r="J22" s="153"/>
      <c r="K22" s="153"/>
      <c r="L22" s="153"/>
      <c r="M22" s="153"/>
      <c r="N22" s="153"/>
      <c r="O22" s="153"/>
      <c r="P22" s="153"/>
      <c r="Q22" s="153"/>
      <c r="R22" s="153"/>
      <c r="S22" s="153"/>
      <c r="T22" s="153"/>
      <c r="U22" s="153"/>
      <c r="V22" s="153"/>
      <c r="W22" s="153"/>
      <c r="X22" s="154"/>
      <c r="Y22" s="154"/>
      <c r="Z22" s="154"/>
    </row>
    <row r="23" spans="1:26" ht="15.75" customHeight="1">
      <c r="A23" s="159">
        <v>18</v>
      </c>
      <c r="B23" s="85" t="s">
        <v>190</v>
      </c>
      <c r="C23" s="160" t="s">
        <v>191</v>
      </c>
      <c r="D23" s="153"/>
      <c r="E23" s="153"/>
      <c r="F23" s="153"/>
      <c r="G23" s="153"/>
      <c r="H23" s="153"/>
      <c r="I23" s="153"/>
      <c r="J23" s="153"/>
      <c r="K23" s="153"/>
      <c r="L23" s="153"/>
      <c r="M23" s="153"/>
      <c r="N23" s="153"/>
      <c r="O23" s="153"/>
      <c r="P23" s="153"/>
      <c r="Q23" s="153"/>
      <c r="R23" s="153"/>
      <c r="S23" s="153"/>
      <c r="T23" s="153"/>
      <c r="U23" s="153"/>
      <c r="V23" s="153"/>
      <c r="W23" s="153"/>
      <c r="X23" s="154"/>
      <c r="Y23" s="154"/>
      <c r="Z23" s="154"/>
    </row>
    <row r="24" spans="1:26" ht="15.75" customHeight="1">
      <c r="A24" s="159">
        <v>19</v>
      </c>
      <c r="B24" s="85" t="s">
        <v>133</v>
      </c>
      <c r="C24" s="160" t="s">
        <v>192</v>
      </c>
      <c r="D24" s="153"/>
      <c r="E24" s="153"/>
      <c r="F24" s="153"/>
      <c r="G24" s="153"/>
      <c r="H24" s="153"/>
      <c r="I24" s="153"/>
      <c r="J24" s="153"/>
      <c r="K24" s="153"/>
      <c r="L24" s="153"/>
      <c r="M24" s="153"/>
      <c r="N24" s="153"/>
      <c r="O24" s="153"/>
      <c r="P24" s="153"/>
      <c r="Q24" s="153"/>
      <c r="R24" s="153"/>
      <c r="S24" s="153"/>
      <c r="T24" s="153"/>
      <c r="U24" s="153"/>
      <c r="V24" s="153"/>
      <c r="W24" s="153"/>
      <c r="X24" s="154"/>
      <c r="Y24" s="154"/>
      <c r="Z24" s="154"/>
    </row>
    <row r="25" spans="1:26" ht="15.75" customHeight="1">
      <c r="A25" s="159">
        <v>20</v>
      </c>
      <c r="B25" s="85" t="s">
        <v>134</v>
      </c>
      <c r="C25" s="160" t="s">
        <v>193</v>
      </c>
      <c r="D25" s="153"/>
      <c r="E25" s="153"/>
      <c r="F25" s="153"/>
      <c r="G25" s="153"/>
      <c r="H25" s="153"/>
      <c r="I25" s="153"/>
      <c r="J25" s="153"/>
      <c r="K25" s="153"/>
      <c r="L25" s="153"/>
      <c r="M25" s="153"/>
      <c r="N25" s="153"/>
      <c r="O25" s="153"/>
      <c r="P25" s="153"/>
      <c r="Q25" s="153"/>
      <c r="R25" s="153"/>
      <c r="S25" s="153"/>
      <c r="T25" s="153"/>
      <c r="U25" s="153"/>
      <c r="V25" s="153"/>
      <c r="W25" s="153"/>
      <c r="X25" s="154"/>
      <c r="Y25" s="154"/>
      <c r="Z25" s="154"/>
    </row>
    <row r="26" spans="1:26" ht="15.75" customHeight="1">
      <c r="A26" s="159" t="s">
        <v>56</v>
      </c>
      <c r="B26" s="85" t="s">
        <v>194</v>
      </c>
      <c r="C26" s="160" t="s">
        <v>195</v>
      </c>
      <c r="D26" s="153"/>
      <c r="E26" s="153"/>
      <c r="F26" s="153"/>
      <c r="G26" s="153"/>
      <c r="H26" s="153"/>
      <c r="I26" s="153"/>
      <c r="J26" s="153"/>
      <c r="K26" s="153"/>
      <c r="L26" s="153"/>
      <c r="M26" s="153"/>
      <c r="N26" s="153"/>
      <c r="O26" s="153"/>
      <c r="P26" s="153"/>
      <c r="Q26" s="153"/>
      <c r="R26" s="153"/>
      <c r="S26" s="153"/>
      <c r="T26" s="153"/>
      <c r="U26" s="153"/>
      <c r="V26" s="153"/>
      <c r="W26" s="153"/>
      <c r="X26" s="154"/>
      <c r="Y26" s="154"/>
      <c r="Z26" s="154"/>
    </row>
    <row r="27" spans="1:26" ht="15.75" customHeight="1">
      <c r="A27" s="159">
        <v>21</v>
      </c>
      <c r="B27" s="85" t="s">
        <v>136</v>
      </c>
      <c r="C27" s="160" t="s">
        <v>196</v>
      </c>
      <c r="D27" s="153"/>
      <c r="E27" s="153"/>
      <c r="F27" s="153"/>
      <c r="G27" s="153"/>
      <c r="H27" s="153"/>
      <c r="I27" s="153"/>
      <c r="J27" s="153"/>
      <c r="K27" s="153"/>
      <c r="L27" s="153"/>
      <c r="M27" s="153"/>
      <c r="N27" s="153"/>
      <c r="O27" s="153"/>
      <c r="P27" s="153"/>
      <c r="Q27" s="153"/>
      <c r="R27" s="153"/>
      <c r="S27" s="153"/>
      <c r="T27" s="153"/>
      <c r="U27" s="153"/>
      <c r="V27" s="153"/>
      <c r="W27" s="153"/>
      <c r="X27" s="154"/>
      <c r="Y27" s="154"/>
      <c r="Z27" s="154"/>
    </row>
    <row r="28" spans="1:26" ht="15.75" customHeight="1">
      <c r="A28" s="159">
        <v>22</v>
      </c>
      <c r="B28" s="85" t="s">
        <v>197</v>
      </c>
      <c r="C28" s="160" t="s">
        <v>198</v>
      </c>
      <c r="D28" s="153"/>
      <c r="E28" s="153"/>
      <c r="F28" s="153"/>
      <c r="G28" s="153"/>
      <c r="H28" s="153"/>
      <c r="I28" s="153"/>
      <c r="J28" s="153"/>
      <c r="K28" s="153"/>
      <c r="L28" s="153"/>
      <c r="M28" s="153"/>
      <c r="N28" s="153"/>
      <c r="O28" s="153"/>
      <c r="P28" s="153"/>
      <c r="Q28" s="153"/>
      <c r="R28" s="153"/>
      <c r="S28" s="153"/>
      <c r="T28" s="153"/>
      <c r="U28" s="153"/>
      <c r="V28" s="153"/>
      <c r="W28" s="153"/>
      <c r="X28" s="154"/>
      <c r="Y28" s="154"/>
      <c r="Z28" s="154"/>
    </row>
    <row r="29" spans="1:26" ht="15.75" customHeight="1">
      <c r="A29" s="159">
        <v>23</v>
      </c>
      <c r="B29" s="85" t="s">
        <v>138</v>
      </c>
      <c r="C29" s="160" t="s">
        <v>199</v>
      </c>
      <c r="D29" s="153"/>
      <c r="E29" s="153"/>
      <c r="F29" s="153"/>
      <c r="G29" s="153"/>
      <c r="H29" s="153"/>
      <c r="I29" s="153"/>
      <c r="J29" s="153"/>
      <c r="K29" s="153"/>
      <c r="L29" s="153"/>
      <c r="M29" s="153"/>
      <c r="N29" s="153"/>
      <c r="O29" s="153"/>
      <c r="P29" s="153"/>
      <c r="Q29" s="153"/>
      <c r="R29" s="153"/>
      <c r="S29" s="153"/>
      <c r="T29" s="153"/>
      <c r="U29" s="153"/>
      <c r="V29" s="153"/>
      <c r="W29" s="153"/>
      <c r="X29" s="154"/>
      <c r="Y29" s="154"/>
      <c r="Z29" s="154"/>
    </row>
    <row r="30" spans="1:26" ht="15.75" customHeight="1">
      <c r="A30" s="159">
        <v>24</v>
      </c>
      <c r="B30" s="85" t="s">
        <v>139</v>
      </c>
      <c r="C30" s="160" t="s">
        <v>200</v>
      </c>
      <c r="D30" s="153"/>
      <c r="E30" s="153"/>
      <c r="F30" s="153"/>
      <c r="G30" s="153"/>
      <c r="H30" s="153"/>
      <c r="I30" s="153"/>
      <c r="J30" s="153"/>
      <c r="K30" s="153"/>
      <c r="L30" s="153"/>
      <c r="M30" s="153"/>
      <c r="N30" s="153"/>
      <c r="O30" s="153"/>
      <c r="P30" s="153"/>
      <c r="Q30" s="153"/>
      <c r="R30" s="153"/>
      <c r="S30" s="153"/>
      <c r="T30" s="153"/>
      <c r="U30" s="153"/>
      <c r="V30" s="153"/>
      <c r="W30" s="153"/>
      <c r="X30" s="154"/>
      <c r="Y30" s="154"/>
      <c r="Z30" s="154"/>
    </row>
    <row r="31" spans="1:26" ht="15.75" customHeight="1">
      <c r="A31" s="159">
        <v>25</v>
      </c>
      <c r="B31" s="85" t="s">
        <v>140</v>
      </c>
      <c r="C31" s="160" t="s">
        <v>201</v>
      </c>
      <c r="D31" s="153"/>
      <c r="E31" s="153"/>
      <c r="F31" s="153"/>
      <c r="G31" s="153"/>
      <c r="H31" s="153"/>
      <c r="I31" s="153"/>
      <c r="J31" s="153"/>
      <c r="K31" s="153"/>
      <c r="L31" s="153"/>
      <c r="M31" s="153"/>
      <c r="N31" s="153"/>
      <c r="O31" s="153"/>
      <c r="P31" s="153"/>
      <c r="Q31" s="153"/>
      <c r="R31" s="153"/>
      <c r="S31" s="153"/>
      <c r="T31" s="153"/>
      <c r="U31" s="153"/>
      <c r="V31" s="153"/>
      <c r="W31" s="153"/>
      <c r="X31" s="154"/>
      <c r="Y31" s="154"/>
      <c r="Z31" s="154"/>
    </row>
    <row r="32" spans="1:26" ht="15.75" customHeight="1">
      <c r="A32" s="159">
        <v>26</v>
      </c>
      <c r="B32" s="85" t="s">
        <v>202</v>
      </c>
      <c r="C32" s="160" t="s">
        <v>203</v>
      </c>
      <c r="D32" s="153"/>
      <c r="E32" s="153"/>
      <c r="F32" s="153"/>
      <c r="G32" s="153"/>
      <c r="H32" s="153"/>
      <c r="I32" s="153"/>
      <c r="J32" s="153"/>
      <c r="K32" s="153"/>
      <c r="L32" s="153"/>
      <c r="M32" s="153"/>
      <c r="N32" s="153"/>
      <c r="O32" s="153"/>
      <c r="P32" s="153"/>
      <c r="Q32" s="153"/>
      <c r="R32" s="153"/>
      <c r="S32" s="153"/>
      <c r="T32" s="153"/>
      <c r="U32" s="153"/>
      <c r="V32" s="153"/>
      <c r="W32" s="153"/>
      <c r="X32" s="154"/>
      <c r="Y32" s="154"/>
      <c r="Z32" s="154"/>
    </row>
    <row r="33" spans="1:26" ht="15.75" customHeight="1">
      <c r="A33" s="159" t="s">
        <v>62</v>
      </c>
      <c r="B33" s="85" t="s">
        <v>204</v>
      </c>
      <c r="C33" s="160" t="s">
        <v>205</v>
      </c>
      <c r="D33" s="153"/>
      <c r="E33" s="153"/>
      <c r="F33" s="153"/>
      <c r="G33" s="153"/>
      <c r="H33" s="153"/>
      <c r="I33" s="153"/>
      <c r="J33" s="153"/>
      <c r="K33" s="153"/>
      <c r="L33" s="153"/>
      <c r="M33" s="153"/>
      <c r="N33" s="153"/>
      <c r="O33" s="153"/>
      <c r="P33" s="153"/>
      <c r="Q33" s="153"/>
      <c r="R33" s="153"/>
      <c r="S33" s="153"/>
      <c r="T33" s="153"/>
      <c r="U33" s="153"/>
      <c r="V33" s="153"/>
      <c r="W33" s="153"/>
      <c r="X33" s="154"/>
      <c r="Y33" s="154"/>
      <c r="Z33" s="154"/>
    </row>
    <row r="34" spans="1:26" ht="15.75" customHeight="1">
      <c r="A34" s="159" t="s">
        <v>73</v>
      </c>
      <c r="B34" s="85" t="s">
        <v>206</v>
      </c>
      <c r="C34" s="160" t="s">
        <v>207</v>
      </c>
      <c r="D34" s="153"/>
      <c r="E34" s="153"/>
      <c r="F34" s="153"/>
      <c r="G34" s="153"/>
      <c r="H34" s="153"/>
      <c r="I34" s="153"/>
      <c r="J34" s="153"/>
      <c r="K34" s="153"/>
      <c r="L34" s="153"/>
      <c r="M34" s="153"/>
      <c r="N34" s="153"/>
      <c r="O34" s="153"/>
      <c r="P34" s="153"/>
      <c r="Q34" s="153"/>
      <c r="R34" s="153"/>
      <c r="S34" s="153"/>
      <c r="T34" s="153"/>
      <c r="U34" s="153"/>
      <c r="V34" s="153"/>
      <c r="W34" s="153"/>
      <c r="X34" s="154"/>
      <c r="Y34" s="154"/>
      <c r="Z34" s="154"/>
    </row>
    <row r="35" spans="1:26" ht="15.75" customHeight="1">
      <c r="A35" s="159" t="s">
        <v>81</v>
      </c>
      <c r="B35" s="85" t="s">
        <v>208</v>
      </c>
      <c r="C35" s="160" t="s">
        <v>209</v>
      </c>
      <c r="D35" s="153"/>
      <c r="E35" s="153"/>
      <c r="F35" s="153"/>
      <c r="G35" s="153"/>
      <c r="H35" s="153"/>
      <c r="I35" s="153"/>
      <c r="J35" s="153"/>
      <c r="K35" s="153"/>
      <c r="L35" s="153"/>
      <c r="M35" s="153"/>
      <c r="N35" s="153"/>
      <c r="O35" s="153"/>
      <c r="P35" s="153"/>
      <c r="Q35" s="153"/>
      <c r="R35" s="153"/>
      <c r="S35" s="153"/>
      <c r="T35" s="153"/>
      <c r="U35" s="153"/>
      <c r="V35" s="153"/>
      <c r="W35" s="153"/>
      <c r="X35" s="154"/>
      <c r="Y35" s="154"/>
      <c r="Z35" s="154"/>
    </row>
    <row r="36" spans="1:26" ht="15.75" customHeight="1">
      <c r="A36" s="159" t="s">
        <v>83</v>
      </c>
      <c r="B36" s="85" t="s">
        <v>210</v>
      </c>
      <c r="C36" s="160" t="s">
        <v>211</v>
      </c>
      <c r="D36" s="153"/>
      <c r="E36" s="153"/>
      <c r="F36" s="153"/>
      <c r="G36" s="153"/>
      <c r="H36" s="153"/>
      <c r="I36" s="153"/>
      <c r="J36" s="153"/>
      <c r="K36" s="153"/>
      <c r="L36" s="153"/>
      <c r="M36" s="153"/>
      <c r="N36" s="153"/>
      <c r="O36" s="153"/>
      <c r="P36" s="153"/>
      <c r="Q36" s="153"/>
      <c r="R36" s="153"/>
      <c r="S36" s="153"/>
      <c r="T36" s="153"/>
      <c r="U36" s="153"/>
      <c r="V36" s="153"/>
      <c r="W36" s="153"/>
      <c r="X36" s="154"/>
      <c r="Y36" s="154"/>
      <c r="Z36" s="154"/>
    </row>
    <row r="37" spans="1:26" ht="15.75" customHeight="1">
      <c r="A37" s="159">
        <v>27</v>
      </c>
      <c r="B37" s="85" t="s">
        <v>146</v>
      </c>
      <c r="C37" s="160" t="s">
        <v>212</v>
      </c>
      <c r="D37" s="153"/>
      <c r="E37" s="153"/>
      <c r="F37" s="153"/>
      <c r="G37" s="153"/>
      <c r="H37" s="153"/>
      <c r="I37" s="153"/>
      <c r="J37" s="153"/>
      <c r="K37" s="153"/>
      <c r="L37" s="153"/>
      <c r="M37" s="153"/>
      <c r="N37" s="153"/>
      <c r="O37" s="153"/>
      <c r="P37" s="153"/>
      <c r="Q37" s="153"/>
      <c r="R37" s="153"/>
      <c r="S37" s="153"/>
      <c r="T37" s="153"/>
      <c r="U37" s="153"/>
      <c r="V37" s="153"/>
      <c r="W37" s="153"/>
      <c r="X37" s="154"/>
      <c r="Y37" s="154"/>
      <c r="Z37" s="154"/>
    </row>
    <row r="38" spans="1:26" ht="15.75" customHeight="1">
      <c r="A38" s="159">
        <v>28</v>
      </c>
      <c r="B38" s="85" t="s">
        <v>147</v>
      </c>
      <c r="C38" s="160" t="s">
        <v>213</v>
      </c>
      <c r="D38" s="153"/>
      <c r="E38" s="153"/>
      <c r="F38" s="153"/>
      <c r="G38" s="153"/>
      <c r="H38" s="153"/>
      <c r="I38" s="153"/>
      <c r="J38" s="153"/>
      <c r="K38" s="153"/>
      <c r="L38" s="153"/>
      <c r="M38" s="153"/>
      <c r="N38" s="153"/>
      <c r="O38" s="153"/>
      <c r="P38" s="153"/>
      <c r="Q38" s="153"/>
      <c r="R38" s="153"/>
      <c r="S38" s="153"/>
      <c r="T38" s="153"/>
      <c r="U38" s="153"/>
      <c r="V38" s="153"/>
      <c r="W38" s="153"/>
      <c r="X38" s="154"/>
      <c r="Y38" s="154"/>
      <c r="Z38" s="154"/>
    </row>
    <row r="39" spans="1:26" ht="15.75" customHeight="1">
      <c r="A39" s="159">
        <v>29</v>
      </c>
      <c r="B39" s="85" t="s">
        <v>15</v>
      </c>
      <c r="C39" s="160" t="s">
        <v>214</v>
      </c>
      <c r="D39" s="153"/>
      <c r="E39" s="153"/>
      <c r="F39" s="153"/>
      <c r="G39" s="153"/>
      <c r="H39" s="153"/>
      <c r="I39" s="153"/>
      <c r="J39" s="153"/>
      <c r="K39" s="153"/>
      <c r="L39" s="153"/>
      <c r="M39" s="153"/>
      <c r="N39" s="153"/>
      <c r="O39" s="153"/>
      <c r="P39" s="153"/>
      <c r="Q39" s="153"/>
      <c r="R39" s="153"/>
      <c r="S39" s="153"/>
      <c r="T39" s="153"/>
      <c r="U39" s="153"/>
      <c r="V39" s="153"/>
      <c r="W39" s="153"/>
      <c r="X39" s="154"/>
      <c r="Y39" s="154"/>
      <c r="Z39" s="154"/>
    </row>
    <row r="40" spans="1:26" ht="15.75" customHeight="1">
      <c r="A40" s="159">
        <v>30</v>
      </c>
      <c r="B40" s="85" t="s">
        <v>148</v>
      </c>
      <c r="C40" s="160" t="s">
        <v>215</v>
      </c>
      <c r="D40" s="153"/>
      <c r="E40" s="153"/>
      <c r="F40" s="153"/>
      <c r="G40" s="153"/>
      <c r="H40" s="153"/>
      <c r="I40" s="153"/>
      <c r="J40" s="153"/>
      <c r="K40" s="153"/>
      <c r="L40" s="153"/>
      <c r="M40" s="153"/>
      <c r="N40" s="153"/>
      <c r="O40" s="153"/>
      <c r="P40" s="153"/>
      <c r="Q40" s="153"/>
      <c r="R40" s="153"/>
      <c r="S40" s="153"/>
      <c r="T40" s="153"/>
      <c r="U40" s="153"/>
      <c r="V40" s="153"/>
      <c r="W40" s="153"/>
      <c r="X40" s="154"/>
      <c r="Y40" s="154"/>
      <c r="Z40" s="154"/>
    </row>
    <row r="41" spans="1:26" ht="15.75" customHeight="1">
      <c r="A41" s="153"/>
      <c r="B41" s="161"/>
      <c r="C41" s="161"/>
      <c r="D41" s="153"/>
      <c r="E41" s="153"/>
      <c r="F41" s="153"/>
      <c r="G41" s="153"/>
      <c r="H41" s="153"/>
      <c r="I41" s="153"/>
      <c r="J41" s="153"/>
      <c r="K41" s="153"/>
      <c r="L41" s="153"/>
      <c r="M41" s="153"/>
      <c r="N41" s="153"/>
      <c r="O41" s="153"/>
      <c r="P41" s="153"/>
      <c r="Q41" s="153"/>
      <c r="R41" s="153"/>
      <c r="S41" s="153"/>
      <c r="T41" s="153"/>
      <c r="U41" s="153"/>
      <c r="V41" s="153"/>
      <c r="W41" s="153"/>
      <c r="X41" s="154"/>
      <c r="Y41" s="154"/>
      <c r="Z41" s="154"/>
    </row>
    <row r="42" spans="1:26" ht="15.75" customHeight="1">
      <c r="A42" s="153"/>
      <c r="B42" s="161"/>
      <c r="C42" s="161"/>
      <c r="D42" s="153"/>
      <c r="E42" s="153"/>
      <c r="F42" s="153"/>
      <c r="G42" s="153"/>
      <c r="H42" s="153"/>
      <c r="I42" s="153"/>
      <c r="J42" s="153"/>
      <c r="K42" s="153"/>
      <c r="L42" s="153"/>
      <c r="M42" s="153"/>
      <c r="N42" s="153"/>
      <c r="O42" s="153"/>
      <c r="P42" s="153"/>
      <c r="Q42" s="153"/>
      <c r="R42" s="153"/>
      <c r="S42" s="153"/>
      <c r="T42" s="153"/>
      <c r="U42" s="153"/>
      <c r="V42" s="153"/>
      <c r="W42" s="153"/>
      <c r="X42" s="154"/>
      <c r="Y42" s="154"/>
      <c r="Z42" s="154"/>
    </row>
    <row r="43" spans="1:26" ht="15.75" customHeight="1">
      <c r="A43" s="153"/>
      <c r="B43" s="161"/>
      <c r="C43" s="161"/>
      <c r="D43" s="153"/>
      <c r="E43" s="153"/>
      <c r="F43" s="153"/>
      <c r="G43" s="153"/>
      <c r="H43" s="153"/>
      <c r="I43" s="153"/>
      <c r="J43" s="153"/>
      <c r="K43" s="153"/>
      <c r="L43" s="153"/>
      <c r="M43" s="153"/>
      <c r="N43" s="153"/>
      <c r="O43" s="153"/>
      <c r="P43" s="153"/>
      <c r="Q43" s="153"/>
      <c r="R43" s="153"/>
      <c r="S43" s="153"/>
      <c r="T43" s="153"/>
      <c r="U43" s="153"/>
      <c r="V43" s="153"/>
      <c r="W43" s="153"/>
      <c r="X43" s="154"/>
      <c r="Y43" s="154"/>
      <c r="Z43" s="154"/>
    </row>
    <row r="44" spans="1:26" ht="15.75" customHeight="1">
      <c r="A44" s="153"/>
      <c r="B44" s="161"/>
      <c r="C44" s="161"/>
      <c r="D44" s="153"/>
      <c r="E44" s="153"/>
      <c r="F44" s="153"/>
      <c r="G44" s="153"/>
      <c r="H44" s="153"/>
      <c r="I44" s="153"/>
      <c r="J44" s="153"/>
      <c r="K44" s="153"/>
      <c r="L44" s="153"/>
      <c r="M44" s="153"/>
      <c r="N44" s="153"/>
      <c r="O44" s="153"/>
      <c r="P44" s="153"/>
      <c r="Q44" s="153"/>
      <c r="R44" s="153"/>
      <c r="S44" s="153"/>
      <c r="T44" s="153"/>
      <c r="U44" s="153"/>
      <c r="V44" s="153"/>
      <c r="W44" s="153"/>
      <c r="X44" s="154"/>
      <c r="Y44" s="154"/>
      <c r="Z44" s="154"/>
    </row>
    <row r="45" spans="1:26" ht="15.75" customHeight="1">
      <c r="A45" s="153"/>
      <c r="B45" s="161"/>
      <c r="C45" s="161"/>
      <c r="D45" s="153"/>
      <c r="E45" s="153"/>
      <c r="F45" s="153"/>
      <c r="G45" s="153"/>
      <c r="H45" s="153"/>
      <c r="I45" s="153"/>
      <c r="J45" s="153"/>
      <c r="K45" s="153"/>
      <c r="L45" s="153"/>
      <c r="M45" s="153"/>
      <c r="N45" s="153"/>
      <c r="O45" s="153"/>
      <c r="P45" s="153"/>
      <c r="Q45" s="153"/>
      <c r="R45" s="153"/>
      <c r="S45" s="153"/>
      <c r="T45" s="153"/>
      <c r="U45" s="153"/>
      <c r="V45" s="153"/>
      <c r="W45" s="153"/>
      <c r="X45" s="154"/>
      <c r="Y45" s="154"/>
      <c r="Z45" s="154"/>
    </row>
    <row r="46" spans="1:26" ht="15.75" customHeight="1">
      <c r="A46" s="153"/>
      <c r="B46" s="161"/>
      <c r="C46" s="161"/>
      <c r="D46" s="153"/>
      <c r="E46" s="153"/>
      <c r="F46" s="153"/>
      <c r="G46" s="153"/>
      <c r="H46" s="153"/>
      <c r="I46" s="153"/>
      <c r="J46" s="153"/>
      <c r="K46" s="153"/>
      <c r="L46" s="153"/>
      <c r="M46" s="153"/>
      <c r="N46" s="153"/>
      <c r="O46" s="153"/>
      <c r="P46" s="153"/>
      <c r="Q46" s="153"/>
      <c r="R46" s="153"/>
      <c r="S46" s="153"/>
      <c r="T46" s="153"/>
      <c r="U46" s="153"/>
      <c r="V46" s="153"/>
      <c r="W46" s="153"/>
      <c r="X46" s="154"/>
      <c r="Y46" s="154"/>
      <c r="Z46" s="154"/>
    </row>
    <row r="47" spans="1:26" ht="15.75" customHeight="1">
      <c r="A47" s="153"/>
      <c r="B47" s="161"/>
      <c r="C47" s="161"/>
      <c r="D47" s="153"/>
      <c r="E47" s="153"/>
      <c r="F47" s="153"/>
      <c r="G47" s="153"/>
      <c r="H47" s="153"/>
      <c r="I47" s="153"/>
      <c r="J47" s="153"/>
      <c r="K47" s="153"/>
      <c r="L47" s="153"/>
      <c r="M47" s="153"/>
      <c r="N47" s="153"/>
      <c r="O47" s="153"/>
      <c r="P47" s="153"/>
      <c r="Q47" s="153"/>
      <c r="R47" s="153"/>
      <c r="S47" s="153"/>
      <c r="T47" s="153"/>
      <c r="U47" s="153"/>
      <c r="V47" s="153"/>
      <c r="W47" s="153"/>
      <c r="X47" s="154"/>
      <c r="Y47" s="154"/>
      <c r="Z47" s="154"/>
    </row>
    <row r="48" spans="1:26" ht="15.75" customHeight="1">
      <c r="A48" s="153"/>
      <c r="B48" s="161"/>
      <c r="C48" s="161"/>
      <c r="D48" s="153"/>
      <c r="E48" s="153"/>
      <c r="F48" s="153"/>
      <c r="G48" s="153"/>
      <c r="H48" s="153"/>
      <c r="I48" s="153"/>
      <c r="J48" s="153"/>
      <c r="K48" s="153"/>
      <c r="L48" s="153"/>
      <c r="M48" s="153"/>
      <c r="N48" s="153"/>
      <c r="O48" s="153"/>
      <c r="P48" s="153"/>
      <c r="Q48" s="153"/>
      <c r="R48" s="153"/>
      <c r="S48" s="153"/>
      <c r="T48" s="153"/>
      <c r="U48" s="153"/>
      <c r="V48" s="153"/>
      <c r="W48" s="153"/>
      <c r="X48" s="154"/>
      <c r="Y48" s="154"/>
      <c r="Z48" s="154"/>
    </row>
    <row r="49" spans="1:26" ht="15.75" customHeight="1">
      <c r="A49" s="153"/>
      <c r="B49" s="161"/>
      <c r="C49" s="161"/>
      <c r="D49" s="153"/>
      <c r="E49" s="153"/>
      <c r="F49" s="153"/>
      <c r="G49" s="153"/>
      <c r="H49" s="153"/>
      <c r="I49" s="153"/>
      <c r="J49" s="153"/>
      <c r="K49" s="153"/>
      <c r="L49" s="153"/>
      <c r="M49" s="153"/>
      <c r="N49" s="153"/>
      <c r="O49" s="153"/>
      <c r="P49" s="153"/>
      <c r="Q49" s="153"/>
      <c r="R49" s="153"/>
      <c r="S49" s="153"/>
      <c r="T49" s="153"/>
      <c r="U49" s="153"/>
      <c r="V49" s="153"/>
      <c r="W49" s="153"/>
      <c r="X49" s="154"/>
      <c r="Y49" s="154"/>
      <c r="Z49" s="154"/>
    </row>
    <row r="50" spans="1:26" ht="15.75" customHeight="1">
      <c r="A50" s="153"/>
      <c r="B50" s="161"/>
      <c r="C50" s="161"/>
      <c r="D50" s="153"/>
      <c r="E50" s="153"/>
      <c r="F50" s="153"/>
      <c r="G50" s="153"/>
      <c r="H50" s="153"/>
      <c r="I50" s="153"/>
      <c r="J50" s="153"/>
      <c r="K50" s="153"/>
      <c r="L50" s="153"/>
      <c r="M50" s="153"/>
      <c r="N50" s="153"/>
      <c r="O50" s="153"/>
      <c r="P50" s="153"/>
      <c r="Q50" s="153"/>
      <c r="R50" s="153"/>
      <c r="S50" s="153"/>
      <c r="T50" s="153"/>
      <c r="U50" s="153"/>
      <c r="V50" s="153"/>
      <c r="W50" s="153"/>
      <c r="X50" s="154"/>
      <c r="Y50" s="154"/>
      <c r="Z50" s="154"/>
    </row>
    <row r="51" spans="1:26" ht="15.75" customHeight="1">
      <c r="A51" s="153"/>
      <c r="B51" s="161"/>
      <c r="C51" s="161"/>
      <c r="D51" s="153"/>
      <c r="E51" s="153"/>
      <c r="F51" s="153"/>
      <c r="G51" s="153"/>
      <c r="H51" s="153"/>
      <c r="I51" s="153"/>
      <c r="J51" s="153"/>
      <c r="K51" s="153"/>
      <c r="L51" s="153"/>
      <c r="M51" s="153"/>
      <c r="N51" s="153"/>
      <c r="O51" s="153"/>
      <c r="P51" s="153"/>
      <c r="Q51" s="153"/>
      <c r="R51" s="153"/>
      <c r="S51" s="153"/>
      <c r="T51" s="153"/>
      <c r="U51" s="153"/>
      <c r="V51" s="153"/>
      <c r="W51" s="153"/>
      <c r="X51" s="154"/>
      <c r="Y51" s="154"/>
      <c r="Z51" s="154"/>
    </row>
    <row r="52" spans="1:26" ht="15.75" customHeight="1">
      <c r="A52" s="153"/>
      <c r="B52" s="161"/>
      <c r="C52" s="161"/>
      <c r="D52" s="153"/>
      <c r="E52" s="153"/>
      <c r="F52" s="153"/>
      <c r="G52" s="153"/>
      <c r="H52" s="153"/>
      <c r="I52" s="153"/>
      <c r="J52" s="153"/>
      <c r="K52" s="153"/>
      <c r="L52" s="153"/>
      <c r="M52" s="153"/>
      <c r="N52" s="153"/>
      <c r="O52" s="153"/>
      <c r="P52" s="153"/>
      <c r="Q52" s="153"/>
      <c r="R52" s="153"/>
      <c r="S52" s="153"/>
      <c r="T52" s="153"/>
      <c r="U52" s="153"/>
      <c r="V52" s="153"/>
      <c r="W52" s="153"/>
      <c r="X52" s="154"/>
      <c r="Y52" s="154"/>
      <c r="Z52" s="154"/>
    </row>
    <row r="53" spans="1:26" ht="15.75" customHeight="1">
      <c r="A53" s="153"/>
      <c r="B53" s="161"/>
      <c r="C53" s="161"/>
      <c r="D53" s="153"/>
      <c r="E53" s="153"/>
      <c r="F53" s="153"/>
      <c r="G53" s="153"/>
      <c r="H53" s="153"/>
      <c r="I53" s="153"/>
      <c r="J53" s="153"/>
      <c r="K53" s="153"/>
      <c r="L53" s="153"/>
      <c r="M53" s="153"/>
      <c r="N53" s="153"/>
      <c r="O53" s="153"/>
      <c r="P53" s="153"/>
      <c r="Q53" s="153"/>
      <c r="R53" s="153"/>
      <c r="S53" s="153"/>
      <c r="T53" s="153"/>
      <c r="U53" s="153"/>
      <c r="V53" s="153"/>
      <c r="W53" s="153"/>
      <c r="X53" s="154"/>
      <c r="Y53" s="154"/>
      <c r="Z53" s="154"/>
    </row>
    <row r="54" spans="1:26" ht="15.75" customHeight="1">
      <c r="A54" s="153"/>
      <c r="B54" s="161"/>
      <c r="C54" s="161"/>
      <c r="D54" s="153"/>
      <c r="E54" s="153"/>
      <c r="F54" s="153"/>
      <c r="G54" s="153"/>
      <c r="H54" s="153"/>
      <c r="I54" s="153"/>
      <c r="J54" s="153"/>
      <c r="K54" s="153"/>
      <c r="L54" s="153"/>
      <c r="M54" s="153"/>
      <c r="N54" s="153"/>
      <c r="O54" s="153"/>
      <c r="P54" s="153"/>
      <c r="Q54" s="153"/>
      <c r="R54" s="153"/>
      <c r="S54" s="153"/>
      <c r="T54" s="153"/>
      <c r="U54" s="153"/>
      <c r="V54" s="153"/>
      <c r="W54" s="153"/>
      <c r="X54" s="154"/>
      <c r="Y54" s="154"/>
      <c r="Z54" s="154"/>
    </row>
    <row r="55" spans="1:26" ht="15.75" customHeight="1">
      <c r="A55" s="153"/>
      <c r="B55" s="161"/>
      <c r="C55" s="161"/>
      <c r="D55" s="153"/>
      <c r="E55" s="153"/>
      <c r="F55" s="153"/>
      <c r="G55" s="153"/>
      <c r="H55" s="153"/>
      <c r="I55" s="153"/>
      <c r="J55" s="153"/>
      <c r="K55" s="153"/>
      <c r="L55" s="153"/>
      <c r="M55" s="153"/>
      <c r="N55" s="153"/>
      <c r="O55" s="153"/>
      <c r="P55" s="153"/>
      <c r="Q55" s="153"/>
      <c r="R55" s="153"/>
      <c r="S55" s="153"/>
      <c r="T55" s="153"/>
      <c r="U55" s="153"/>
      <c r="V55" s="153"/>
      <c r="W55" s="153"/>
      <c r="X55" s="154"/>
      <c r="Y55" s="154"/>
      <c r="Z55" s="154"/>
    </row>
    <row r="56" spans="1:26" ht="15.75" customHeight="1">
      <c r="A56" s="153"/>
      <c r="B56" s="161"/>
      <c r="C56" s="161"/>
      <c r="D56" s="153"/>
      <c r="E56" s="153"/>
      <c r="F56" s="153"/>
      <c r="G56" s="153"/>
      <c r="H56" s="153"/>
      <c r="I56" s="153"/>
      <c r="J56" s="153"/>
      <c r="K56" s="153"/>
      <c r="L56" s="153"/>
      <c r="M56" s="153"/>
      <c r="N56" s="153"/>
      <c r="O56" s="153"/>
      <c r="P56" s="153"/>
      <c r="Q56" s="153"/>
      <c r="R56" s="153"/>
      <c r="S56" s="153"/>
      <c r="T56" s="153"/>
      <c r="U56" s="153"/>
      <c r="V56" s="153"/>
      <c r="W56" s="153"/>
      <c r="X56" s="154"/>
      <c r="Y56" s="154"/>
      <c r="Z56" s="154"/>
    </row>
    <row r="57" spans="1:26" ht="15.75" customHeight="1">
      <c r="A57" s="153"/>
      <c r="B57" s="161"/>
      <c r="C57" s="161"/>
      <c r="D57" s="153"/>
      <c r="E57" s="153"/>
      <c r="F57" s="153"/>
      <c r="G57" s="153"/>
      <c r="H57" s="153"/>
      <c r="I57" s="153"/>
      <c r="J57" s="153"/>
      <c r="K57" s="153"/>
      <c r="L57" s="153"/>
      <c r="M57" s="153"/>
      <c r="N57" s="153"/>
      <c r="O57" s="153"/>
      <c r="P57" s="153"/>
      <c r="Q57" s="153"/>
      <c r="R57" s="153"/>
      <c r="S57" s="153"/>
      <c r="T57" s="153"/>
      <c r="U57" s="153"/>
      <c r="V57" s="153"/>
      <c r="W57" s="153"/>
      <c r="X57" s="154"/>
      <c r="Y57" s="154"/>
      <c r="Z57" s="154"/>
    </row>
    <row r="58" spans="1:26" ht="15.75" customHeight="1">
      <c r="A58" s="153"/>
      <c r="B58" s="161"/>
      <c r="C58" s="161"/>
      <c r="D58" s="153"/>
      <c r="E58" s="153"/>
      <c r="F58" s="153"/>
      <c r="G58" s="153"/>
      <c r="H58" s="153"/>
      <c r="I58" s="153"/>
      <c r="J58" s="153"/>
      <c r="K58" s="153"/>
      <c r="L58" s="153"/>
      <c r="M58" s="153"/>
      <c r="N58" s="153"/>
      <c r="O58" s="153"/>
      <c r="P58" s="153"/>
      <c r="Q58" s="153"/>
      <c r="R58" s="153"/>
      <c r="S58" s="153"/>
      <c r="T58" s="153"/>
      <c r="U58" s="153"/>
      <c r="V58" s="153"/>
      <c r="W58" s="153"/>
      <c r="X58" s="154"/>
      <c r="Y58" s="154"/>
      <c r="Z58" s="154"/>
    </row>
    <row r="59" spans="1:26" ht="15.75" customHeight="1">
      <c r="A59" s="153"/>
      <c r="B59" s="161"/>
      <c r="C59" s="161"/>
      <c r="D59" s="153"/>
      <c r="E59" s="153"/>
      <c r="F59" s="153"/>
      <c r="G59" s="153"/>
      <c r="H59" s="153"/>
      <c r="I59" s="153"/>
      <c r="J59" s="153"/>
      <c r="K59" s="153"/>
      <c r="L59" s="153"/>
      <c r="M59" s="153"/>
      <c r="N59" s="153"/>
      <c r="O59" s="153"/>
      <c r="P59" s="153"/>
      <c r="Q59" s="153"/>
      <c r="R59" s="153"/>
      <c r="S59" s="153"/>
      <c r="T59" s="153"/>
      <c r="U59" s="153"/>
      <c r="V59" s="153"/>
      <c r="W59" s="153"/>
      <c r="X59" s="154"/>
      <c r="Y59" s="154"/>
      <c r="Z59" s="154"/>
    </row>
    <row r="60" spans="1:26" ht="15.75" customHeight="1">
      <c r="A60" s="153"/>
      <c r="B60" s="161"/>
      <c r="C60" s="161"/>
      <c r="D60" s="153"/>
      <c r="E60" s="153"/>
      <c r="F60" s="153"/>
      <c r="G60" s="153"/>
      <c r="H60" s="153"/>
      <c r="I60" s="153"/>
      <c r="J60" s="153"/>
      <c r="K60" s="153"/>
      <c r="L60" s="153"/>
      <c r="M60" s="153"/>
      <c r="N60" s="153"/>
      <c r="O60" s="153"/>
      <c r="P60" s="153"/>
      <c r="Q60" s="153"/>
      <c r="R60" s="153"/>
      <c r="S60" s="153"/>
      <c r="T60" s="153"/>
      <c r="U60" s="153"/>
      <c r="V60" s="153"/>
      <c r="W60" s="153"/>
      <c r="X60" s="154"/>
      <c r="Y60" s="154"/>
      <c r="Z60" s="154"/>
    </row>
    <row r="61" spans="1:26" ht="15.75" customHeight="1">
      <c r="A61" s="153"/>
      <c r="B61" s="161"/>
      <c r="C61" s="161"/>
      <c r="D61" s="153"/>
      <c r="E61" s="153"/>
      <c r="F61" s="153"/>
      <c r="G61" s="153"/>
      <c r="H61" s="153"/>
      <c r="I61" s="153"/>
      <c r="J61" s="153"/>
      <c r="K61" s="153"/>
      <c r="L61" s="153"/>
      <c r="M61" s="153"/>
      <c r="N61" s="153"/>
      <c r="O61" s="153"/>
      <c r="P61" s="153"/>
      <c r="Q61" s="153"/>
      <c r="R61" s="153"/>
      <c r="S61" s="153"/>
      <c r="T61" s="153"/>
      <c r="U61" s="153"/>
      <c r="V61" s="153"/>
      <c r="W61" s="153"/>
      <c r="X61" s="154"/>
      <c r="Y61" s="154"/>
      <c r="Z61" s="154"/>
    </row>
    <row r="62" spans="1:26" ht="15.75" customHeight="1">
      <c r="A62" s="153"/>
      <c r="B62" s="161"/>
      <c r="C62" s="161"/>
      <c r="D62" s="153"/>
      <c r="E62" s="153"/>
      <c r="F62" s="153"/>
      <c r="G62" s="153"/>
      <c r="H62" s="153"/>
      <c r="I62" s="153"/>
      <c r="J62" s="153"/>
      <c r="K62" s="153"/>
      <c r="L62" s="153"/>
      <c r="M62" s="153"/>
      <c r="N62" s="153"/>
      <c r="O62" s="153"/>
      <c r="P62" s="153"/>
      <c r="Q62" s="153"/>
      <c r="R62" s="153"/>
      <c r="S62" s="153"/>
      <c r="T62" s="153"/>
      <c r="U62" s="153"/>
      <c r="V62" s="153"/>
      <c r="W62" s="153"/>
      <c r="X62" s="154"/>
      <c r="Y62" s="154"/>
      <c r="Z62" s="154"/>
    </row>
    <row r="63" spans="1:26" ht="15.75" customHeight="1">
      <c r="A63" s="153"/>
      <c r="B63" s="161"/>
      <c r="C63" s="161"/>
      <c r="D63" s="153"/>
      <c r="E63" s="153"/>
      <c r="F63" s="153"/>
      <c r="G63" s="153"/>
      <c r="H63" s="153"/>
      <c r="I63" s="153"/>
      <c r="J63" s="153"/>
      <c r="K63" s="153"/>
      <c r="L63" s="153"/>
      <c r="M63" s="153"/>
      <c r="N63" s="153"/>
      <c r="O63" s="153"/>
      <c r="P63" s="153"/>
      <c r="Q63" s="153"/>
      <c r="R63" s="153"/>
      <c r="S63" s="153"/>
      <c r="T63" s="153"/>
      <c r="U63" s="153"/>
      <c r="V63" s="153"/>
      <c r="W63" s="153"/>
      <c r="X63" s="154"/>
      <c r="Y63" s="154"/>
      <c r="Z63" s="154"/>
    </row>
    <row r="64" spans="1:26" ht="15.75" customHeight="1">
      <c r="A64" s="153"/>
      <c r="B64" s="161"/>
      <c r="C64" s="161"/>
      <c r="D64" s="153"/>
      <c r="E64" s="153"/>
      <c r="F64" s="153"/>
      <c r="G64" s="153"/>
      <c r="H64" s="153"/>
      <c r="I64" s="153"/>
      <c r="J64" s="153"/>
      <c r="K64" s="153"/>
      <c r="L64" s="153"/>
      <c r="M64" s="153"/>
      <c r="N64" s="153"/>
      <c r="O64" s="153"/>
      <c r="P64" s="153"/>
      <c r="Q64" s="153"/>
      <c r="R64" s="153"/>
      <c r="S64" s="153"/>
      <c r="T64" s="153"/>
      <c r="U64" s="153"/>
      <c r="V64" s="153"/>
      <c r="W64" s="153"/>
      <c r="X64" s="154"/>
      <c r="Y64" s="154"/>
      <c r="Z64" s="154"/>
    </row>
    <row r="65" spans="1:26" ht="15.75" customHeight="1">
      <c r="A65" s="153"/>
      <c r="B65" s="161"/>
      <c r="C65" s="161"/>
      <c r="D65" s="153"/>
      <c r="E65" s="153"/>
      <c r="F65" s="153"/>
      <c r="G65" s="153"/>
      <c r="H65" s="153"/>
      <c r="I65" s="153"/>
      <c r="J65" s="153"/>
      <c r="K65" s="153"/>
      <c r="L65" s="153"/>
      <c r="M65" s="153"/>
      <c r="N65" s="153"/>
      <c r="O65" s="153"/>
      <c r="P65" s="153"/>
      <c r="Q65" s="153"/>
      <c r="R65" s="153"/>
      <c r="S65" s="153"/>
      <c r="T65" s="153"/>
      <c r="U65" s="153"/>
      <c r="V65" s="153"/>
      <c r="W65" s="153"/>
      <c r="X65" s="154"/>
      <c r="Y65" s="154"/>
      <c r="Z65" s="154"/>
    </row>
    <row r="66" spans="1:26" ht="15.75" customHeight="1">
      <c r="A66" s="153"/>
      <c r="B66" s="161"/>
      <c r="C66" s="161"/>
      <c r="D66" s="153"/>
      <c r="E66" s="153"/>
      <c r="F66" s="153"/>
      <c r="G66" s="153"/>
      <c r="H66" s="153"/>
      <c r="I66" s="153"/>
      <c r="J66" s="153"/>
      <c r="K66" s="153"/>
      <c r="L66" s="153"/>
      <c r="M66" s="153"/>
      <c r="N66" s="153"/>
      <c r="O66" s="153"/>
      <c r="P66" s="153"/>
      <c r="Q66" s="153"/>
      <c r="R66" s="153"/>
      <c r="S66" s="153"/>
      <c r="T66" s="153"/>
      <c r="U66" s="153"/>
      <c r="V66" s="153"/>
      <c r="W66" s="153"/>
      <c r="X66" s="154"/>
      <c r="Y66" s="154"/>
      <c r="Z66" s="154"/>
    </row>
    <row r="67" spans="1:26" ht="15.75" customHeight="1">
      <c r="A67" s="153"/>
      <c r="B67" s="161"/>
      <c r="C67" s="161"/>
      <c r="D67" s="153"/>
      <c r="E67" s="153"/>
      <c r="F67" s="153"/>
      <c r="G67" s="153"/>
      <c r="H67" s="153"/>
      <c r="I67" s="153"/>
      <c r="J67" s="153"/>
      <c r="K67" s="153"/>
      <c r="L67" s="153"/>
      <c r="M67" s="153"/>
      <c r="N67" s="153"/>
      <c r="O67" s="153"/>
      <c r="P67" s="153"/>
      <c r="Q67" s="153"/>
      <c r="R67" s="153"/>
      <c r="S67" s="153"/>
      <c r="T67" s="153"/>
      <c r="U67" s="153"/>
      <c r="V67" s="153"/>
      <c r="W67" s="153"/>
      <c r="X67" s="154"/>
      <c r="Y67" s="154"/>
      <c r="Z67" s="154"/>
    </row>
    <row r="68" spans="1:26" ht="15.75" customHeight="1">
      <c r="A68" s="153"/>
      <c r="B68" s="161"/>
      <c r="C68" s="161"/>
      <c r="D68" s="153"/>
      <c r="E68" s="153"/>
      <c r="F68" s="153"/>
      <c r="G68" s="153"/>
      <c r="H68" s="153"/>
      <c r="I68" s="153"/>
      <c r="J68" s="153"/>
      <c r="K68" s="153"/>
      <c r="L68" s="153"/>
      <c r="M68" s="153"/>
      <c r="N68" s="153"/>
      <c r="O68" s="153"/>
      <c r="P68" s="153"/>
      <c r="Q68" s="153"/>
      <c r="R68" s="153"/>
      <c r="S68" s="153"/>
      <c r="T68" s="153"/>
      <c r="U68" s="153"/>
      <c r="V68" s="153"/>
      <c r="W68" s="153"/>
      <c r="X68" s="154"/>
      <c r="Y68" s="154"/>
      <c r="Z68" s="154"/>
    </row>
    <row r="69" spans="1:26" ht="15.75" customHeight="1">
      <c r="A69" s="153"/>
      <c r="B69" s="161"/>
      <c r="C69" s="161"/>
      <c r="D69" s="153"/>
      <c r="E69" s="153"/>
      <c r="F69" s="153"/>
      <c r="G69" s="153"/>
      <c r="H69" s="153"/>
      <c r="I69" s="153"/>
      <c r="J69" s="153"/>
      <c r="K69" s="153"/>
      <c r="L69" s="153"/>
      <c r="M69" s="153"/>
      <c r="N69" s="153"/>
      <c r="O69" s="153"/>
      <c r="P69" s="153"/>
      <c r="Q69" s="153"/>
      <c r="R69" s="153"/>
      <c r="S69" s="153"/>
      <c r="T69" s="153"/>
      <c r="U69" s="153"/>
      <c r="V69" s="153"/>
      <c r="W69" s="153"/>
      <c r="X69" s="154"/>
      <c r="Y69" s="154"/>
      <c r="Z69" s="154"/>
    </row>
    <row r="70" spans="1:26" ht="15.75" customHeight="1">
      <c r="A70" s="153"/>
      <c r="B70" s="161"/>
      <c r="C70" s="161"/>
      <c r="D70" s="153"/>
      <c r="E70" s="153"/>
      <c r="F70" s="153"/>
      <c r="G70" s="153"/>
      <c r="H70" s="153"/>
      <c r="I70" s="153"/>
      <c r="J70" s="153"/>
      <c r="K70" s="153"/>
      <c r="L70" s="153"/>
      <c r="M70" s="153"/>
      <c r="N70" s="153"/>
      <c r="O70" s="153"/>
      <c r="P70" s="153"/>
      <c r="Q70" s="153"/>
      <c r="R70" s="153"/>
      <c r="S70" s="153"/>
      <c r="T70" s="153"/>
      <c r="U70" s="153"/>
      <c r="V70" s="153"/>
      <c r="W70" s="153"/>
      <c r="X70" s="154"/>
      <c r="Y70" s="154"/>
      <c r="Z70" s="154"/>
    </row>
    <row r="71" spans="1:26" ht="15.75" customHeight="1">
      <c r="A71" s="153"/>
      <c r="B71" s="161"/>
      <c r="C71" s="161"/>
      <c r="D71" s="153"/>
      <c r="E71" s="153"/>
      <c r="F71" s="153"/>
      <c r="G71" s="153"/>
      <c r="H71" s="153"/>
      <c r="I71" s="153"/>
      <c r="J71" s="153"/>
      <c r="K71" s="153"/>
      <c r="L71" s="153"/>
      <c r="M71" s="153"/>
      <c r="N71" s="153"/>
      <c r="O71" s="153"/>
      <c r="P71" s="153"/>
      <c r="Q71" s="153"/>
      <c r="R71" s="153"/>
      <c r="S71" s="153"/>
      <c r="T71" s="153"/>
      <c r="U71" s="153"/>
      <c r="V71" s="153"/>
      <c r="W71" s="153"/>
      <c r="X71" s="154"/>
      <c r="Y71" s="154"/>
      <c r="Z71" s="154"/>
    </row>
    <row r="72" spans="1:26" ht="15.75" customHeight="1">
      <c r="A72" s="153"/>
      <c r="B72" s="161"/>
      <c r="C72" s="161"/>
      <c r="D72" s="153"/>
      <c r="E72" s="153"/>
      <c r="F72" s="153"/>
      <c r="G72" s="153"/>
      <c r="H72" s="153"/>
      <c r="I72" s="153"/>
      <c r="J72" s="153"/>
      <c r="K72" s="153"/>
      <c r="L72" s="153"/>
      <c r="M72" s="153"/>
      <c r="N72" s="153"/>
      <c r="O72" s="153"/>
      <c r="P72" s="153"/>
      <c r="Q72" s="153"/>
      <c r="R72" s="153"/>
      <c r="S72" s="153"/>
      <c r="T72" s="153"/>
      <c r="U72" s="153"/>
      <c r="V72" s="153"/>
      <c r="W72" s="153"/>
      <c r="X72" s="154"/>
      <c r="Y72" s="154"/>
      <c r="Z72" s="154"/>
    </row>
    <row r="73" spans="1:26" ht="15.75" customHeight="1">
      <c r="A73" s="153"/>
      <c r="B73" s="161"/>
      <c r="C73" s="161"/>
      <c r="D73" s="153"/>
      <c r="E73" s="153"/>
      <c r="F73" s="153"/>
      <c r="G73" s="153"/>
      <c r="H73" s="153"/>
      <c r="I73" s="153"/>
      <c r="J73" s="153"/>
      <c r="K73" s="153"/>
      <c r="L73" s="153"/>
      <c r="M73" s="153"/>
      <c r="N73" s="153"/>
      <c r="O73" s="153"/>
      <c r="P73" s="153"/>
      <c r="Q73" s="153"/>
      <c r="R73" s="153"/>
      <c r="S73" s="153"/>
      <c r="T73" s="153"/>
      <c r="U73" s="153"/>
      <c r="V73" s="153"/>
      <c r="W73" s="153"/>
      <c r="X73" s="154"/>
      <c r="Y73" s="154"/>
      <c r="Z73" s="154"/>
    </row>
    <row r="74" spans="1:26" ht="15.75" customHeight="1">
      <c r="A74" s="153"/>
      <c r="B74" s="161"/>
      <c r="C74" s="161"/>
      <c r="D74" s="153"/>
      <c r="E74" s="153"/>
      <c r="F74" s="153"/>
      <c r="G74" s="153"/>
      <c r="H74" s="153"/>
      <c r="I74" s="153"/>
      <c r="J74" s="153"/>
      <c r="K74" s="153"/>
      <c r="L74" s="153"/>
      <c r="M74" s="153"/>
      <c r="N74" s="153"/>
      <c r="O74" s="153"/>
      <c r="P74" s="153"/>
      <c r="Q74" s="153"/>
      <c r="R74" s="153"/>
      <c r="S74" s="153"/>
      <c r="T74" s="153"/>
      <c r="U74" s="153"/>
      <c r="V74" s="153"/>
      <c r="W74" s="153"/>
      <c r="X74" s="154"/>
      <c r="Y74" s="154"/>
      <c r="Z74" s="154"/>
    </row>
    <row r="75" spans="1:26" ht="15.75" customHeight="1">
      <c r="A75" s="153"/>
      <c r="B75" s="161"/>
      <c r="C75" s="161"/>
      <c r="D75" s="153"/>
      <c r="E75" s="153"/>
      <c r="F75" s="153"/>
      <c r="G75" s="153"/>
      <c r="H75" s="153"/>
      <c r="I75" s="153"/>
      <c r="J75" s="153"/>
      <c r="K75" s="153"/>
      <c r="L75" s="153"/>
      <c r="M75" s="153"/>
      <c r="N75" s="153"/>
      <c r="O75" s="153"/>
      <c r="P75" s="153"/>
      <c r="Q75" s="153"/>
      <c r="R75" s="153"/>
      <c r="S75" s="153"/>
      <c r="T75" s="153"/>
      <c r="U75" s="153"/>
      <c r="V75" s="153"/>
      <c r="W75" s="153"/>
      <c r="X75" s="154"/>
      <c r="Y75" s="154"/>
      <c r="Z75" s="154"/>
    </row>
    <row r="76" spans="1:26" ht="15.75" customHeight="1">
      <c r="A76" s="153"/>
      <c r="B76" s="161"/>
      <c r="C76" s="161"/>
      <c r="D76" s="153"/>
      <c r="E76" s="153"/>
      <c r="F76" s="153"/>
      <c r="G76" s="153"/>
      <c r="H76" s="153"/>
      <c r="I76" s="153"/>
      <c r="J76" s="153"/>
      <c r="K76" s="153"/>
      <c r="L76" s="153"/>
      <c r="M76" s="153"/>
      <c r="N76" s="153"/>
      <c r="O76" s="153"/>
      <c r="P76" s="153"/>
      <c r="Q76" s="153"/>
      <c r="R76" s="153"/>
      <c r="S76" s="153"/>
      <c r="T76" s="153"/>
      <c r="U76" s="153"/>
      <c r="V76" s="153"/>
      <c r="W76" s="153"/>
      <c r="X76" s="154"/>
      <c r="Y76" s="154"/>
      <c r="Z76" s="154"/>
    </row>
    <row r="77" spans="1:26" ht="15.75" customHeight="1">
      <c r="A77" s="153"/>
      <c r="B77" s="161"/>
      <c r="C77" s="161"/>
      <c r="D77" s="153"/>
      <c r="E77" s="153"/>
      <c r="F77" s="153"/>
      <c r="G77" s="153"/>
      <c r="H77" s="153"/>
      <c r="I77" s="153"/>
      <c r="J77" s="153"/>
      <c r="K77" s="153"/>
      <c r="L77" s="153"/>
      <c r="M77" s="153"/>
      <c r="N77" s="153"/>
      <c r="O77" s="153"/>
      <c r="P77" s="153"/>
      <c r="Q77" s="153"/>
      <c r="R77" s="153"/>
      <c r="S77" s="153"/>
      <c r="T77" s="153"/>
      <c r="U77" s="153"/>
      <c r="V77" s="153"/>
      <c r="W77" s="153"/>
      <c r="X77" s="154"/>
      <c r="Y77" s="154"/>
      <c r="Z77" s="154"/>
    </row>
    <row r="78" spans="1:26" ht="15.75" customHeight="1">
      <c r="A78" s="153"/>
      <c r="B78" s="161"/>
      <c r="C78" s="161"/>
      <c r="D78" s="153"/>
      <c r="E78" s="153"/>
      <c r="F78" s="153"/>
      <c r="G78" s="153"/>
      <c r="H78" s="153"/>
      <c r="I78" s="153"/>
      <c r="J78" s="153"/>
      <c r="K78" s="153"/>
      <c r="L78" s="153"/>
      <c r="M78" s="153"/>
      <c r="N78" s="153"/>
      <c r="O78" s="153"/>
      <c r="P78" s="153"/>
      <c r="Q78" s="153"/>
      <c r="R78" s="153"/>
      <c r="S78" s="153"/>
      <c r="T78" s="153"/>
      <c r="U78" s="153"/>
      <c r="V78" s="153"/>
      <c r="W78" s="153"/>
      <c r="X78" s="154"/>
      <c r="Y78" s="154"/>
      <c r="Z78" s="154"/>
    </row>
    <row r="79" spans="1:26" ht="15.75" customHeight="1">
      <c r="A79" s="153"/>
      <c r="B79" s="161"/>
      <c r="C79" s="161"/>
      <c r="D79" s="153"/>
      <c r="E79" s="153"/>
      <c r="F79" s="153"/>
      <c r="G79" s="153"/>
      <c r="H79" s="153"/>
      <c r="I79" s="153"/>
      <c r="J79" s="153"/>
      <c r="K79" s="153"/>
      <c r="L79" s="153"/>
      <c r="M79" s="153"/>
      <c r="N79" s="153"/>
      <c r="O79" s="153"/>
      <c r="P79" s="153"/>
      <c r="Q79" s="153"/>
      <c r="R79" s="153"/>
      <c r="S79" s="153"/>
      <c r="T79" s="153"/>
      <c r="U79" s="153"/>
      <c r="V79" s="153"/>
      <c r="W79" s="153"/>
      <c r="X79" s="154"/>
      <c r="Y79" s="154"/>
      <c r="Z79" s="154"/>
    </row>
    <row r="80" spans="1:26" ht="15.75" customHeight="1">
      <c r="A80" s="153"/>
      <c r="B80" s="161"/>
      <c r="C80" s="161"/>
      <c r="D80" s="153"/>
      <c r="E80" s="153"/>
      <c r="F80" s="153"/>
      <c r="G80" s="153"/>
      <c r="H80" s="153"/>
      <c r="I80" s="153"/>
      <c r="J80" s="153"/>
      <c r="K80" s="153"/>
      <c r="L80" s="153"/>
      <c r="M80" s="153"/>
      <c r="N80" s="153"/>
      <c r="O80" s="153"/>
      <c r="P80" s="153"/>
      <c r="Q80" s="153"/>
      <c r="R80" s="153"/>
      <c r="S80" s="153"/>
      <c r="T80" s="153"/>
      <c r="U80" s="153"/>
      <c r="V80" s="153"/>
      <c r="W80" s="153"/>
      <c r="X80" s="154"/>
      <c r="Y80" s="154"/>
      <c r="Z80" s="154"/>
    </row>
    <row r="81" spans="1:26" ht="15.75" customHeight="1">
      <c r="A81" s="153"/>
      <c r="B81" s="161"/>
      <c r="C81" s="161"/>
      <c r="D81" s="153"/>
      <c r="E81" s="153"/>
      <c r="F81" s="153"/>
      <c r="G81" s="153"/>
      <c r="H81" s="153"/>
      <c r="I81" s="153"/>
      <c r="J81" s="153"/>
      <c r="K81" s="153"/>
      <c r="L81" s="153"/>
      <c r="M81" s="153"/>
      <c r="N81" s="153"/>
      <c r="O81" s="153"/>
      <c r="P81" s="153"/>
      <c r="Q81" s="153"/>
      <c r="R81" s="153"/>
      <c r="S81" s="153"/>
      <c r="T81" s="153"/>
      <c r="U81" s="153"/>
      <c r="V81" s="153"/>
      <c r="W81" s="153"/>
      <c r="X81" s="154"/>
      <c r="Y81" s="154"/>
      <c r="Z81" s="154"/>
    </row>
    <row r="82" spans="1:26" ht="15.75" customHeight="1">
      <c r="A82" s="153"/>
      <c r="B82" s="161"/>
      <c r="C82" s="161"/>
      <c r="D82" s="153"/>
      <c r="E82" s="153"/>
      <c r="F82" s="153"/>
      <c r="G82" s="153"/>
      <c r="H82" s="153"/>
      <c r="I82" s="153"/>
      <c r="J82" s="153"/>
      <c r="K82" s="153"/>
      <c r="L82" s="153"/>
      <c r="M82" s="153"/>
      <c r="N82" s="153"/>
      <c r="O82" s="153"/>
      <c r="P82" s="153"/>
      <c r="Q82" s="153"/>
      <c r="R82" s="153"/>
      <c r="S82" s="153"/>
      <c r="T82" s="153"/>
      <c r="U82" s="153"/>
      <c r="V82" s="153"/>
      <c r="W82" s="153"/>
      <c r="X82" s="154"/>
      <c r="Y82" s="154"/>
      <c r="Z82" s="154"/>
    </row>
    <row r="83" spans="1:26" ht="15.75" customHeight="1">
      <c r="A83" s="153"/>
      <c r="B83" s="161"/>
      <c r="C83" s="161"/>
      <c r="D83" s="153"/>
      <c r="E83" s="153"/>
      <c r="F83" s="153"/>
      <c r="G83" s="153"/>
      <c r="H83" s="153"/>
      <c r="I83" s="153"/>
      <c r="J83" s="153"/>
      <c r="K83" s="153"/>
      <c r="L83" s="153"/>
      <c r="M83" s="153"/>
      <c r="N83" s="153"/>
      <c r="O83" s="153"/>
      <c r="P83" s="153"/>
      <c r="Q83" s="153"/>
      <c r="R83" s="153"/>
      <c r="S83" s="153"/>
      <c r="T83" s="153"/>
      <c r="U83" s="153"/>
      <c r="V83" s="153"/>
      <c r="W83" s="153"/>
      <c r="X83" s="154"/>
      <c r="Y83" s="154"/>
      <c r="Z83" s="154"/>
    </row>
    <row r="84" spans="1:26" ht="15.75" customHeight="1">
      <c r="A84" s="153"/>
      <c r="B84" s="161"/>
      <c r="C84" s="161"/>
      <c r="D84" s="153"/>
      <c r="E84" s="153"/>
      <c r="F84" s="153"/>
      <c r="G84" s="153"/>
      <c r="H84" s="153"/>
      <c r="I84" s="153"/>
      <c r="J84" s="153"/>
      <c r="K84" s="153"/>
      <c r="L84" s="153"/>
      <c r="M84" s="153"/>
      <c r="N84" s="153"/>
      <c r="O84" s="153"/>
      <c r="P84" s="153"/>
      <c r="Q84" s="153"/>
      <c r="R84" s="153"/>
      <c r="S84" s="153"/>
      <c r="T84" s="153"/>
      <c r="U84" s="153"/>
      <c r="V84" s="153"/>
      <c r="W84" s="153"/>
      <c r="X84" s="154"/>
      <c r="Y84" s="154"/>
      <c r="Z84" s="154"/>
    </row>
    <row r="85" spans="1:26" ht="15.75" customHeight="1">
      <c r="A85" s="153"/>
      <c r="B85" s="161"/>
      <c r="C85" s="161"/>
      <c r="D85" s="153"/>
      <c r="E85" s="153"/>
      <c r="F85" s="153"/>
      <c r="G85" s="153"/>
      <c r="H85" s="153"/>
      <c r="I85" s="153"/>
      <c r="J85" s="153"/>
      <c r="K85" s="153"/>
      <c r="L85" s="153"/>
      <c r="M85" s="153"/>
      <c r="N85" s="153"/>
      <c r="O85" s="153"/>
      <c r="P85" s="153"/>
      <c r="Q85" s="153"/>
      <c r="R85" s="153"/>
      <c r="S85" s="153"/>
      <c r="T85" s="153"/>
      <c r="U85" s="153"/>
      <c r="V85" s="153"/>
      <c r="W85" s="153"/>
      <c r="X85" s="154"/>
      <c r="Y85" s="154"/>
      <c r="Z85" s="154"/>
    </row>
    <row r="86" spans="1:26" ht="15.75" customHeight="1">
      <c r="A86" s="153"/>
      <c r="B86" s="161"/>
      <c r="C86" s="161"/>
      <c r="D86" s="153"/>
      <c r="E86" s="153"/>
      <c r="F86" s="153"/>
      <c r="G86" s="153"/>
      <c r="H86" s="153"/>
      <c r="I86" s="153"/>
      <c r="J86" s="153"/>
      <c r="K86" s="153"/>
      <c r="L86" s="153"/>
      <c r="M86" s="153"/>
      <c r="N86" s="153"/>
      <c r="O86" s="153"/>
      <c r="P86" s="153"/>
      <c r="Q86" s="153"/>
      <c r="R86" s="153"/>
      <c r="S86" s="153"/>
      <c r="T86" s="153"/>
      <c r="U86" s="153"/>
      <c r="V86" s="153"/>
      <c r="W86" s="153"/>
      <c r="X86" s="154"/>
      <c r="Y86" s="154"/>
      <c r="Z86" s="154"/>
    </row>
    <row r="87" spans="1:26" ht="15.75" customHeight="1">
      <c r="A87" s="153"/>
      <c r="B87" s="161"/>
      <c r="C87" s="161"/>
      <c r="D87" s="153"/>
      <c r="E87" s="153"/>
      <c r="F87" s="153"/>
      <c r="G87" s="153"/>
      <c r="H87" s="153"/>
      <c r="I87" s="153"/>
      <c r="J87" s="153"/>
      <c r="K87" s="153"/>
      <c r="L87" s="153"/>
      <c r="M87" s="153"/>
      <c r="N87" s="153"/>
      <c r="O87" s="153"/>
      <c r="P87" s="153"/>
      <c r="Q87" s="153"/>
      <c r="R87" s="153"/>
      <c r="S87" s="153"/>
      <c r="T87" s="153"/>
      <c r="U87" s="153"/>
      <c r="V87" s="153"/>
      <c r="W87" s="153"/>
      <c r="X87" s="154"/>
      <c r="Y87" s="154"/>
      <c r="Z87" s="154"/>
    </row>
    <row r="88" spans="1:26" ht="15.75" customHeight="1">
      <c r="A88" s="153"/>
      <c r="B88" s="161"/>
      <c r="C88" s="161"/>
      <c r="D88" s="153"/>
      <c r="E88" s="153"/>
      <c r="F88" s="153"/>
      <c r="G88" s="153"/>
      <c r="H88" s="153"/>
      <c r="I88" s="153"/>
      <c r="J88" s="153"/>
      <c r="K88" s="153"/>
      <c r="L88" s="153"/>
      <c r="M88" s="153"/>
      <c r="N88" s="153"/>
      <c r="O88" s="153"/>
      <c r="P88" s="153"/>
      <c r="Q88" s="153"/>
      <c r="R88" s="153"/>
      <c r="S88" s="153"/>
      <c r="T88" s="153"/>
      <c r="U88" s="153"/>
      <c r="V88" s="153"/>
      <c r="W88" s="153"/>
      <c r="X88" s="154"/>
      <c r="Y88" s="154"/>
      <c r="Z88" s="154"/>
    </row>
    <row r="89" spans="1:26" ht="15.75" customHeight="1">
      <c r="A89" s="153"/>
      <c r="B89" s="161"/>
      <c r="C89" s="161"/>
      <c r="D89" s="153"/>
      <c r="E89" s="153"/>
      <c r="F89" s="153"/>
      <c r="G89" s="153"/>
      <c r="H89" s="153"/>
      <c r="I89" s="153"/>
      <c r="J89" s="153"/>
      <c r="K89" s="153"/>
      <c r="L89" s="153"/>
      <c r="M89" s="153"/>
      <c r="N89" s="153"/>
      <c r="O89" s="153"/>
      <c r="P89" s="153"/>
      <c r="Q89" s="153"/>
      <c r="R89" s="153"/>
      <c r="S89" s="153"/>
      <c r="T89" s="153"/>
      <c r="U89" s="153"/>
      <c r="V89" s="153"/>
      <c r="W89" s="153"/>
      <c r="X89" s="154"/>
      <c r="Y89" s="154"/>
      <c r="Z89" s="154"/>
    </row>
    <row r="90" spans="1:26" ht="15.75" customHeight="1">
      <c r="A90" s="153"/>
      <c r="B90" s="161"/>
      <c r="C90" s="161"/>
      <c r="D90" s="153"/>
      <c r="E90" s="153"/>
      <c r="F90" s="153"/>
      <c r="G90" s="153"/>
      <c r="H90" s="153"/>
      <c r="I90" s="153"/>
      <c r="J90" s="153"/>
      <c r="K90" s="153"/>
      <c r="L90" s="153"/>
      <c r="M90" s="153"/>
      <c r="N90" s="153"/>
      <c r="O90" s="153"/>
      <c r="P90" s="153"/>
      <c r="Q90" s="153"/>
      <c r="R90" s="153"/>
      <c r="S90" s="153"/>
      <c r="T90" s="153"/>
      <c r="U90" s="153"/>
      <c r="V90" s="153"/>
      <c r="W90" s="153"/>
      <c r="X90" s="154"/>
      <c r="Y90" s="154"/>
      <c r="Z90" s="154"/>
    </row>
    <row r="91" spans="1:26" ht="15.75" customHeight="1">
      <c r="A91" s="153"/>
      <c r="B91" s="161"/>
      <c r="C91" s="161"/>
      <c r="D91" s="153"/>
      <c r="E91" s="153"/>
      <c r="F91" s="153"/>
      <c r="G91" s="153"/>
      <c r="H91" s="153"/>
      <c r="I91" s="153"/>
      <c r="J91" s="153"/>
      <c r="K91" s="153"/>
      <c r="L91" s="153"/>
      <c r="M91" s="153"/>
      <c r="N91" s="153"/>
      <c r="O91" s="153"/>
      <c r="P91" s="153"/>
      <c r="Q91" s="153"/>
      <c r="R91" s="153"/>
      <c r="S91" s="153"/>
      <c r="T91" s="153"/>
      <c r="U91" s="153"/>
      <c r="V91" s="153"/>
      <c r="W91" s="153"/>
      <c r="X91" s="154"/>
      <c r="Y91" s="154"/>
      <c r="Z91" s="154"/>
    </row>
    <row r="92" spans="1:26" ht="15.75" customHeight="1">
      <c r="A92" s="153"/>
      <c r="B92" s="161"/>
      <c r="C92" s="161"/>
      <c r="D92" s="153"/>
      <c r="E92" s="153"/>
      <c r="F92" s="153"/>
      <c r="G92" s="153"/>
      <c r="H92" s="153"/>
      <c r="I92" s="153"/>
      <c r="J92" s="153"/>
      <c r="K92" s="153"/>
      <c r="L92" s="153"/>
      <c r="M92" s="153"/>
      <c r="N92" s="153"/>
      <c r="O92" s="153"/>
      <c r="P92" s="153"/>
      <c r="Q92" s="153"/>
      <c r="R92" s="153"/>
      <c r="S92" s="153"/>
      <c r="T92" s="153"/>
      <c r="U92" s="153"/>
      <c r="V92" s="153"/>
      <c r="W92" s="153"/>
      <c r="X92" s="154"/>
      <c r="Y92" s="154"/>
      <c r="Z92" s="154"/>
    </row>
    <row r="93" spans="1:26" ht="15.75" customHeight="1">
      <c r="A93" s="153"/>
      <c r="B93" s="161"/>
      <c r="C93" s="161"/>
      <c r="D93" s="153"/>
      <c r="E93" s="153"/>
      <c r="F93" s="153"/>
      <c r="G93" s="153"/>
      <c r="H93" s="153"/>
      <c r="I93" s="153"/>
      <c r="J93" s="153"/>
      <c r="K93" s="153"/>
      <c r="L93" s="153"/>
      <c r="M93" s="153"/>
      <c r="N93" s="153"/>
      <c r="O93" s="153"/>
      <c r="P93" s="153"/>
      <c r="Q93" s="153"/>
      <c r="R93" s="153"/>
      <c r="S93" s="153"/>
      <c r="T93" s="153"/>
      <c r="U93" s="153"/>
      <c r="V93" s="153"/>
      <c r="W93" s="153"/>
      <c r="X93" s="154"/>
      <c r="Y93" s="154"/>
      <c r="Z93" s="154"/>
    </row>
    <row r="94" spans="1:26" ht="15.75" customHeight="1">
      <c r="A94" s="153"/>
      <c r="B94" s="161"/>
      <c r="C94" s="161"/>
      <c r="D94" s="153"/>
      <c r="E94" s="153"/>
      <c r="F94" s="153"/>
      <c r="G94" s="153"/>
      <c r="H94" s="153"/>
      <c r="I94" s="153"/>
      <c r="J94" s="153"/>
      <c r="K94" s="153"/>
      <c r="L94" s="153"/>
      <c r="M94" s="153"/>
      <c r="N94" s="153"/>
      <c r="O94" s="153"/>
      <c r="P94" s="153"/>
      <c r="Q94" s="153"/>
      <c r="R94" s="153"/>
      <c r="S94" s="153"/>
      <c r="T94" s="153"/>
      <c r="U94" s="153"/>
      <c r="V94" s="153"/>
      <c r="W94" s="153"/>
      <c r="X94" s="154"/>
      <c r="Y94" s="154"/>
      <c r="Z94" s="154"/>
    </row>
    <row r="95" spans="1:26" ht="15.75" customHeight="1">
      <c r="A95" s="153"/>
      <c r="B95" s="161"/>
      <c r="C95" s="161"/>
      <c r="D95" s="153"/>
      <c r="E95" s="153"/>
      <c r="F95" s="153"/>
      <c r="G95" s="153"/>
      <c r="H95" s="153"/>
      <c r="I95" s="153"/>
      <c r="J95" s="153"/>
      <c r="K95" s="153"/>
      <c r="L95" s="153"/>
      <c r="M95" s="153"/>
      <c r="N95" s="153"/>
      <c r="O95" s="153"/>
      <c r="P95" s="153"/>
      <c r="Q95" s="153"/>
      <c r="R95" s="153"/>
      <c r="S95" s="153"/>
      <c r="T95" s="153"/>
      <c r="U95" s="153"/>
      <c r="V95" s="153"/>
      <c r="W95" s="153"/>
      <c r="X95" s="154"/>
      <c r="Y95" s="154"/>
      <c r="Z95" s="154"/>
    </row>
    <row r="96" spans="1:26" ht="15.75" customHeight="1">
      <c r="A96" s="153"/>
      <c r="B96" s="161"/>
      <c r="C96" s="161"/>
      <c r="D96" s="153"/>
      <c r="E96" s="153"/>
      <c r="F96" s="153"/>
      <c r="G96" s="153"/>
      <c r="H96" s="153"/>
      <c r="I96" s="153"/>
      <c r="J96" s="153"/>
      <c r="K96" s="153"/>
      <c r="L96" s="153"/>
      <c r="M96" s="153"/>
      <c r="N96" s="153"/>
      <c r="O96" s="153"/>
      <c r="P96" s="153"/>
      <c r="Q96" s="153"/>
      <c r="R96" s="153"/>
      <c r="S96" s="153"/>
      <c r="T96" s="153"/>
      <c r="U96" s="153"/>
      <c r="V96" s="153"/>
      <c r="W96" s="153"/>
      <c r="X96" s="154"/>
      <c r="Y96" s="154"/>
      <c r="Z96" s="154"/>
    </row>
    <row r="97" spans="1:26" ht="15.75" customHeight="1">
      <c r="A97" s="153"/>
      <c r="B97" s="161"/>
      <c r="C97" s="161"/>
      <c r="D97" s="153"/>
      <c r="E97" s="153"/>
      <c r="F97" s="153"/>
      <c r="G97" s="153"/>
      <c r="H97" s="153"/>
      <c r="I97" s="153"/>
      <c r="J97" s="153"/>
      <c r="K97" s="153"/>
      <c r="L97" s="153"/>
      <c r="M97" s="153"/>
      <c r="N97" s="153"/>
      <c r="O97" s="153"/>
      <c r="P97" s="153"/>
      <c r="Q97" s="153"/>
      <c r="R97" s="153"/>
      <c r="S97" s="153"/>
      <c r="T97" s="153"/>
      <c r="U97" s="153"/>
      <c r="V97" s="153"/>
      <c r="W97" s="153"/>
      <c r="X97" s="154"/>
      <c r="Y97" s="154"/>
      <c r="Z97" s="154"/>
    </row>
    <row r="98" spans="1:26" ht="15.75" customHeight="1">
      <c r="A98" s="153"/>
      <c r="B98" s="161"/>
      <c r="C98" s="161"/>
      <c r="D98" s="153"/>
      <c r="E98" s="153"/>
      <c r="F98" s="153"/>
      <c r="G98" s="153"/>
      <c r="H98" s="153"/>
      <c r="I98" s="153"/>
      <c r="J98" s="153"/>
      <c r="K98" s="153"/>
      <c r="L98" s="153"/>
      <c r="M98" s="153"/>
      <c r="N98" s="153"/>
      <c r="O98" s="153"/>
      <c r="P98" s="153"/>
      <c r="Q98" s="153"/>
      <c r="R98" s="153"/>
      <c r="S98" s="153"/>
      <c r="T98" s="153"/>
      <c r="U98" s="153"/>
      <c r="V98" s="153"/>
      <c r="W98" s="153"/>
      <c r="X98" s="154"/>
      <c r="Y98" s="154"/>
      <c r="Z98" s="154"/>
    </row>
    <row r="99" spans="1:26" ht="15.75" customHeight="1">
      <c r="A99" s="153"/>
      <c r="B99" s="161"/>
      <c r="C99" s="161"/>
      <c r="D99" s="153"/>
      <c r="E99" s="153"/>
      <c r="F99" s="153"/>
      <c r="G99" s="153"/>
      <c r="H99" s="153"/>
      <c r="I99" s="153"/>
      <c r="J99" s="153"/>
      <c r="K99" s="153"/>
      <c r="L99" s="153"/>
      <c r="M99" s="153"/>
      <c r="N99" s="153"/>
      <c r="O99" s="153"/>
      <c r="P99" s="153"/>
      <c r="Q99" s="153"/>
      <c r="R99" s="153"/>
      <c r="S99" s="153"/>
      <c r="T99" s="153"/>
      <c r="U99" s="153"/>
      <c r="V99" s="153"/>
      <c r="W99" s="153"/>
      <c r="X99" s="154"/>
      <c r="Y99" s="154"/>
      <c r="Z99" s="154"/>
    </row>
    <row r="100" spans="1:26" ht="15.75" customHeight="1">
      <c r="A100" s="153"/>
      <c r="B100" s="161"/>
      <c r="C100" s="161"/>
      <c r="D100" s="153"/>
      <c r="E100" s="153"/>
      <c r="F100" s="153"/>
      <c r="G100" s="153"/>
      <c r="H100" s="153"/>
      <c r="I100" s="153"/>
      <c r="J100" s="153"/>
      <c r="K100" s="153"/>
      <c r="L100" s="153"/>
      <c r="M100" s="153"/>
      <c r="N100" s="153"/>
      <c r="O100" s="153"/>
      <c r="P100" s="153"/>
      <c r="Q100" s="153"/>
      <c r="R100" s="153"/>
      <c r="S100" s="153"/>
      <c r="T100" s="153"/>
      <c r="U100" s="153"/>
      <c r="V100" s="153"/>
      <c r="W100" s="153"/>
      <c r="X100" s="154"/>
      <c r="Y100" s="154"/>
      <c r="Z100" s="154"/>
    </row>
    <row r="101" spans="1:26" ht="15.75" customHeight="1">
      <c r="A101" s="153"/>
      <c r="B101" s="161"/>
      <c r="C101" s="161"/>
      <c r="D101" s="153"/>
      <c r="E101" s="153"/>
      <c r="F101" s="153"/>
      <c r="G101" s="153"/>
      <c r="H101" s="153"/>
      <c r="I101" s="153"/>
      <c r="J101" s="153"/>
      <c r="K101" s="153"/>
      <c r="L101" s="153"/>
      <c r="M101" s="153"/>
      <c r="N101" s="153"/>
      <c r="O101" s="153"/>
      <c r="P101" s="153"/>
      <c r="Q101" s="153"/>
      <c r="R101" s="153"/>
      <c r="S101" s="153"/>
      <c r="T101" s="153"/>
      <c r="U101" s="153"/>
      <c r="V101" s="153"/>
      <c r="W101" s="153"/>
      <c r="X101" s="154"/>
      <c r="Y101" s="154"/>
      <c r="Z101" s="154"/>
    </row>
    <row r="102" spans="1:26" ht="15.75" customHeight="1">
      <c r="A102" s="153"/>
      <c r="B102" s="161"/>
      <c r="C102" s="161"/>
      <c r="D102" s="153"/>
      <c r="E102" s="153"/>
      <c r="F102" s="153"/>
      <c r="G102" s="153"/>
      <c r="H102" s="153"/>
      <c r="I102" s="153"/>
      <c r="J102" s="153"/>
      <c r="K102" s="153"/>
      <c r="L102" s="153"/>
      <c r="M102" s="153"/>
      <c r="N102" s="153"/>
      <c r="O102" s="153"/>
      <c r="P102" s="153"/>
      <c r="Q102" s="153"/>
      <c r="R102" s="153"/>
      <c r="S102" s="153"/>
      <c r="T102" s="153"/>
      <c r="U102" s="153"/>
      <c r="V102" s="153"/>
      <c r="W102" s="153"/>
      <c r="X102" s="154"/>
      <c r="Y102" s="154"/>
      <c r="Z102" s="154"/>
    </row>
    <row r="103" spans="1:26" ht="15.75" customHeight="1">
      <c r="A103" s="153"/>
      <c r="B103" s="161"/>
      <c r="C103" s="161"/>
      <c r="D103" s="153"/>
      <c r="E103" s="153"/>
      <c r="F103" s="153"/>
      <c r="G103" s="153"/>
      <c r="H103" s="153"/>
      <c r="I103" s="153"/>
      <c r="J103" s="153"/>
      <c r="K103" s="153"/>
      <c r="L103" s="153"/>
      <c r="M103" s="153"/>
      <c r="N103" s="153"/>
      <c r="O103" s="153"/>
      <c r="P103" s="153"/>
      <c r="Q103" s="153"/>
      <c r="R103" s="153"/>
      <c r="S103" s="153"/>
      <c r="T103" s="153"/>
      <c r="U103" s="153"/>
      <c r="V103" s="153"/>
      <c r="W103" s="153"/>
      <c r="X103" s="154"/>
      <c r="Y103" s="154"/>
      <c r="Z103" s="154"/>
    </row>
    <row r="104" spans="1:26" ht="15.75" customHeight="1">
      <c r="A104" s="153"/>
      <c r="B104" s="161"/>
      <c r="C104" s="161"/>
      <c r="D104" s="153"/>
      <c r="E104" s="153"/>
      <c r="F104" s="153"/>
      <c r="G104" s="153"/>
      <c r="H104" s="153"/>
      <c r="I104" s="153"/>
      <c r="J104" s="153"/>
      <c r="K104" s="153"/>
      <c r="L104" s="153"/>
      <c r="M104" s="153"/>
      <c r="N104" s="153"/>
      <c r="O104" s="153"/>
      <c r="P104" s="153"/>
      <c r="Q104" s="153"/>
      <c r="R104" s="153"/>
      <c r="S104" s="153"/>
      <c r="T104" s="153"/>
      <c r="U104" s="153"/>
      <c r="V104" s="153"/>
      <c r="W104" s="153"/>
      <c r="X104" s="154"/>
      <c r="Y104" s="154"/>
      <c r="Z104" s="154"/>
    </row>
    <row r="105" spans="1:26" ht="15.75" customHeight="1">
      <c r="A105" s="153"/>
      <c r="B105" s="161"/>
      <c r="C105" s="161"/>
      <c r="D105" s="153"/>
      <c r="E105" s="153"/>
      <c r="F105" s="153"/>
      <c r="G105" s="153"/>
      <c r="H105" s="153"/>
      <c r="I105" s="153"/>
      <c r="J105" s="153"/>
      <c r="K105" s="153"/>
      <c r="L105" s="153"/>
      <c r="M105" s="153"/>
      <c r="N105" s="153"/>
      <c r="O105" s="153"/>
      <c r="P105" s="153"/>
      <c r="Q105" s="153"/>
      <c r="R105" s="153"/>
      <c r="S105" s="153"/>
      <c r="T105" s="153"/>
      <c r="U105" s="153"/>
      <c r="V105" s="153"/>
      <c r="W105" s="153"/>
      <c r="X105" s="154"/>
      <c r="Y105" s="154"/>
      <c r="Z105" s="154"/>
    </row>
    <row r="106" spans="1:26" ht="15.75" customHeight="1">
      <c r="A106" s="153"/>
      <c r="B106" s="161"/>
      <c r="C106" s="161"/>
      <c r="D106" s="153"/>
      <c r="E106" s="153"/>
      <c r="F106" s="153"/>
      <c r="G106" s="153"/>
      <c r="H106" s="153"/>
      <c r="I106" s="153"/>
      <c r="J106" s="153"/>
      <c r="K106" s="153"/>
      <c r="L106" s="153"/>
      <c r="M106" s="153"/>
      <c r="N106" s="153"/>
      <c r="O106" s="153"/>
      <c r="P106" s="153"/>
      <c r="Q106" s="153"/>
      <c r="R106" s="153"/>
      <c r="S106" s="153"/>
      <c r="T106" s="153"/>
      <c r="U106" s="153"/>
      <c r="V106" s="153"/>
      <c r="W106" s="153"/>
      <c r="X106" s="154"/>
      <c r="Y106" s="154"/>
      <c r="Z106" s="154"/>
    </row>
    <row r="107" spans="1:26" ht="15.75" customHeight="1">
      <c r="A107" s="153"/>
      <c r="B107" s="161"/>
      <c r="C107" s="161"/>
      <c r="D107" s="153"/>
      <c r="E107" s="153"/>
      <c r="F107" s="153"/>
      <c r="G107" s="153"/>
      <c r="H107" s="153"/>
      <c r="I107" s="153"/>
      <c r="J107" s="153"/>
      <c r="K107" s="153"/>
      <c r="L107" s="153"/>
      <c r="M107" s="153"/>
      <c r="N107" s="153"/>
      <c r="O107" s="153"/>
      <c r="P107" s="153"/>
      <c r="Q107" s="153"/>
      <c r="R107" s="153"/>
      <c r="S107" s="153"/>
      <c r="T107" s="153"/>
      <c r="U107" s="153"/>
      <c r="V107" s="153"/>
      <c r="W107" s="153"/>
      <c r="X107" s="154"/>
      <c r="Y107" s="154"/>
      <c r="Z107" s="154"/>
    </row>
    <row r="108" spans="1:26" ht="15.75" customHeight="1">
      <c r="A108" s="153"/>
      <c r="B108" s="161"/>
      <c r="C108" s="161"/>
      <c r="D108" s="153"/>
      <c r="E108" s="153"/>
      <c r="F108" s="153"/>
      <c r="G108" s="153"/>
      <c r="H108" s="153"/>
      <c r="I108" s="153"/>
      <c r="J108" s="153"/>
      <c r="K108" s="153"/>
      <c r="L108" s="153"/>
      <c r="M108" s="153"/>
      <c r="N108" s="153"/>
      <c r="O108" s="153"/>
      <c r="P108" s="153"/>
      <c r="Q108" s="153"/>
      <c r="R108" s="153"/>
      <c r="S108" s="153"/>
      <c r="T108" s="153"/>
      <c r="U108" s="153"/>
      <c r="V108" s="153"/>
      <c r="W108" s="153"/>
      <c r="X108" s="154"/>
      <c r="Y108" s="154"/>
      <c r="Z108" s="154"/>
    </row>
    <row r="109" spans="1:26" ht="15.75" customHeight="1">
      <c r="A109" s="153"/>
      <c r="B109" s="161"/>
      <c r="C109" s="161"/>
      <c r="D109" s="153"/>
      <c r="E109" s="153"/>
      <c r="F109" s="153"/>
      <c r="G109" s="153"/>
      <c r="H109" s="153"/>
      <c r="I109" s="153"/>
      <c r="J109" s="153"/>
      <c r="K109" s="153"/>
      <c r="L109" s="153"/>
      <c r="M109" s="153"/>
      <c r="N109" s="153"/>
      <c r="O109" s="153"/>
      <c r="P109" s="153"/>
      <c r="Q109" s="153"/>
      <c r="R109" s="153"/>
      <c r="S109" s="153"/>
      <c r="T109" s="153"/>
      <c r="U109" s="153"/>
      <c r="V109" s="153"/>
      <c r="W109" s="153"/>
      <c r="X109" s="154"/>
      <c r="Y109" s="154"/>
      <c r="Z109" s="154"/>
    </row>
    <row r="110" spans="1:26" ht="15.75" customHeight="1">
      <c r="A110" s="153"/>
      <c r="B110" s="161"/>
      <c r="C110" s="161"/>
      <c r="D110" s="153"/>
      <c r="E110" s="153"/>
      <c r="F110" s="153"/>
      <c r="G110" s="153"/>
      <c r="H110" s="153"/>
      <c r="I110" s="153"/>
      <c r="J110" s="153"/>
      <c r="K110" s="153"/>
      <c r="L110" s="153"/>
      <c r="M110" s="153"/>
      <c r="N110" s="153"/>
      <c r="O110" s="153"/>
      <c r="P110" s="153"/>
      <c r="Q110" s="153"/>
      <c r="R110" s="153"/>
      <c r="S110" s="153"/>
      <c r="T110" s="153"/>
      <c r="U110" s="153"/>
      <c r="V110" s="153"/>
      <c r="W110" s="153"/>
      <c r="X110" s="154"/>
      <c r="Y110" s="154"/>
      <c r="Z110" s="154"/>
    </row>
    <row r="111" spans="1:26" ht="15.75" customHeight="1">
      <c r="A111" s="153"/>
      <c r="B111" s="161"/>
      <c r="C111" s="161"/>
      <c r="D111" s="153"/>
      <c r="E111" s="153"/>
      <c r="F111" s="153"/>
      <c r="G111" s="153"/>
      <c r="H111" s="153"/>
      <c r="I111" s="153"/>
      <c r="J111" s="153"/>
      <c r="K111" s="153"/>
      <c r="L111" s="153"/>
      <c r="M111" s="153"/>
      <c r="N111" s="153"/>
      <c r="O111" s="153"/>
      <c r="P111" s="153"/>
      <c r="Q111" s="153"/>
      <c r="R111" s="153"/>
      <c r="S111" s="153"/>
      <c r="T111" s="153"/>
      <c r="U111" s="153"/>
      <c r="V111" s="153"/>
      <c r="W111" s="153"/>
      <c r="X111" s="154"/>
      <c r="Y111" s="154"/>
      <c r="Z111" s="154"/>
    </row>
    <row r="112" spans="1:26" ht="15.75" customHeight="1">
      <c r="A112" s="153"/>
      <c r="B112" s="161"/>
      <c r="C112" s="161"/>
      <c r="D112" s="153"/>
      <c r="E112" s="153"/>
      <c r="F112" s="153"/>
      <c r="G112" s="153"/>
      <c r="H112" s="153"/>
      <c r="I112" s="153"/>
      <c r="J112" s="153"/>
      <c r="K112" s="153"/>
      <c r="L112" s="153"/>
      <c r="M112" s="153"/>
      <c r="N112" s="153"/>
      <c r="O112" s="153"/>
      <c r="P112" s="153"/>
      <c r="Q112" s="153"/>
      <c r="R112" s="153"/>
      <c r="S112" s="153"/>
      <c r="T112" s="153"/>
      <c r="U112" s="153"/>
      <c r="V112" s="153"/>
      <c r="W112" s="153"/>
      <c r="X112" s="154"/>
      <c r="Y112" s="154"/>
      <c r="Z112" s="154"/>
    </row>
    <row r="113" spans="1:26" ht="15.75" customHeight="1">
      <c r="A113" s="153"/>
      <c r="B113" s="161"/>
      <c r="C113" s="161"/>
      <c r="D113" s="153"/>
      <c r="E113" s="153"/>
      <c r="F113" s="153"/>
      <c r="G113" s="153"/>
      <c r="H113" s="153"/>
      <c r="I113" s="153"/>
      <c r="J113" s="153"/>
      <c r="K113" s="153"/>
      <c r="L113" s="153"/>
      <c r="M113" s="153"/>
      <c r="N113" s="153"/>
      <c r="O113" s="153"/>
      <c r="P113" s="153"/>
      <c r="Q113" s="153"/>
      <c r="R113" s="153"/>
      <c r="S113" s="153"/>
      <c r="T113" s="153"/>
      <c r="U113" s="153"/>
      <c r="V113" s="153"/>
      <c r="W113" s="153"/>
      <c r="X113" s="154"/>
      <c r="Y113" s="154"/>
      <c r="Z113" s="154"/>
    </row>
    <row r="114" spans="1:26" ht="15.75" customHeight="1">
      <c r="A114" s="153"/>
      <c r="B114" s="161"/>
      <c r="C114" s="161"/>
      <c r="D114" s="153"/>
      <c r="E114" s="153"/>
      <c r="F114" s="153"/>
      <c r="G114" s="153"/>
      <c r="H114" s="153"/>
      <c r="I114" s="153"/>
      <c r="J114" s="153"/>
      <c r="K114" s="153"/>
      <c r="L114" s="153"/>
      <c r="M114" s="153"/>
      <c r="N114" s="153"/>
      <c r="O114" s="153"/>
      <c r="P114" s="153"/>
      <c r="Q114" s="153"/>
      <c r="R114" s="153"/>
      <c r="S114" s="153"/>
      <c r="T114" s="153"/>
      <c r="U114" s="153"/>
      <c r="V114" s="153"/>
      <c r="W114" s="153"/>
      <c r="X114" s="154"/>
      <c r="Y114" s="154"/>
      <c r="Z114" s="154"/>
    </row>
    <row r="115" spans="1:26" ht="15.75" customHeight="1">
      <c r="A115" s="153"/>
      <c r="B115" s="161"/>
      <c r="C115" s="161"/>
      <c r="D115" s="153"/>
      <c r="E115" s="153"/>
      <c r="F115" s="153"/>
      <c r="G115" s="153"/>
      <c r="H115" s="153"/>
      <c r="I115" s="153"/>
      <c r="J115" s="153"/>
      <c r="K115" s="153"/>
      <c r="L115" s="153"/>
      <c r="M115" s="153"/>
      <c r="N115" s="153"/>
      <c r="O115" s="153"/>
      <c r="P115" s="153"/>
      <c r="Q115" s="153"/>
      <c r="R115" s="153"/>
      <c r="S115" s="153"/>
      <c r="T115" s="153"/>
      <c r="U115" s="153"/>
      <c r="V115" s="153"/>
      <c r="W115" s="153"/>
      <c r="X115" s="154"/>
      <c r="Y115" s="154"/>
      <c r="Z115" s="154"/>
    </row>
    <row r="116" spans="1:26" ht="15.75" customHeight="1">
      <c r="A116" s="153"/>
      <c r="B116" s="161"/>
      <c r="C116" s="161"/>
      <c r="D116" s="153"/>
      <c r="E116" s="153"/>
      <c r="F116" s="153"/>
      <c r="G116" s="153"/>
      <c r="H116" s="153"/>
      <c r="I116" s="153"/>
      <c r="J116" s="153"/>
      <c r="K116" s="153"/>
      <c r="L116" s="153"/>
      <c r="M116" s="153"/>
      <c r="N116" s="153"/>
      <c r="O116" s="153"/>
      <c r="P116" s="153"/>
      <c r="Q116" s="153"/>
      <c r="R116" s="153"/>
      <c r="S116" s="153"/>
      <c r="T116" s="153"/>
      <c r="U116" s="153"/>
      <c r="V116" s="153"/>
      <c r="W116" s="153"/>
      <c r="X116" s="154"/>
      <c r="Y116" s="154"/>
      <c r="Z116" s="154"/>
    </row>
    <row r="117" spans="1:26" ht="15.75" customHeight="1">
      <c r="A117" s="153"/>
      <c r="B117" s="161"/>
      <c r="C117" s="161"/>
      <c r="D117" s="153"/>
      <c r="E117" s="153"/>
      <c r="F117" s="153"/>
      <c r="G117" s="153"/>
      <c r="H117" s="153"/>
      <c r="I117" s="153"/>
      <c r="J117" s="153"/>
      <c r="K117" s="153"/>
      <c r="L117" s="153"/>
      <c r="M117" s="153"/>
      <c r="N117" s="153"/>
      <c r="O117" s="153"/>
      <c r="P117" s="153"/>
      <c r="Q117" s="153"/>
      <c r="R117" s="153"/>
      <c r="S117" s="153"/>
      <c r="T117" s="153"/>
      <c r="U117" s="153"/>
      <c r="V117" s="153"/>
      <c r="W117" s="153"/>
      <c r="X117" s="154"/>
      <c r="Y117" s="154"/>
      <c r="Z117" s="154"/>
    </row>
    <row r="118" spans="1:26" ht="15.75" customHeight="1">
      <c r="A118" s="153"/>
      <c r="B118" s="161"/>
      <c r="C118" s="161"/>
      <c r="D118" s="153"/>
      <c r="E118" s="153"/>
      <c r="F118" s="153"/>
      <c r="G118" s="153"/>
      <c r="H118" s="153"/>
      <c r="I118" s="153"/>
      <c r="J118" s="153"/>
      <c r="K118" s="153"/>
      <c r="L118" s="153"/>
      <c r="M118" s="153"/>
      <c r="N118" s="153"/>
      <c r="O118" s="153"/>
      <c r="P118" s="153"/>
      <c r="Q118" s="153"/>
      <c r="R118" s="153"/>
      <c r="S118" s="153"/>
      <c r="T118" s="153"/>
      <c r="U118" s="153"/>
      <c r="V118" s="153"/>
      <c r="W118" s="153"/>
      <c r="X118" s="154"/>
      <c r="Y118" s="154"/>
      <c r="Z118" s="154"/>
    </row>
    <row r="119" spans="1:26" ht="15.75" customHeight="1">
      <c r="A119" s="153"/>
      <c r="B119" s="161"/>
      <c r="C119" s="161"/>
      <c r="D119" s="153"/>
      <c r="E119" s="153"/>
      <c r="F119" s="153"/>
      <c r="G119" s="153"/>
      <c r="H119" s="153"/>
      <c r="I119" s="153"/>
      <c r="J119" s="153"/>
      <c r="K119" s="153"/>
      <c r="L119" s="153"/>
      <c r="M119" s="153"/>
      <c r="N119" s="153"/>
      <c r="O119" s="153"/>
      <c r="P119" s="153"/>
      <c r="Q119" s="153"/>
      <c r="R119" s="153"/>
      <c r="S119" s="153"/>
      <c r="T119" s="153"/>
      <c r="U119" s="153"/>
      <c r="V119" s="153"/>
      <c r="W119" s="153"/>
      <c r="X119" s="154"/>
      <c r="Y119" s="154"/>
      <c r="Z119" s="154"/>
    </row>
    <row r="120" spans="1:26" ht="15.75" customHeight="1">
      <c r="A120" s="153"/>
      <c r="B120" s="161"/>
      <c r="C120" s="161"/>
      <c r="D120" s="153"/>
      <c r="E120" s="153"/>
      <c r="F120" s="153"/>
      <c r="G120" s="153"/>
      <c r="H120" s="153"/>
      <c r="I120" s="153"/>
      <c r="J120" s="153"/>
      <c r="K120" s="153"/>
      <c r="L120" s="153"/>
      <c r="M120" s="153"/>
      <c r="N120" s="153"/>
      <c r="O120" s="153"/>
      <c r="P120" s="153"/>
      <c r="Q120" s="153"/>
      <c r="R120" s="153"/>
      <c r="S120" s="153"/>
      <c r="T120" s="153"/>
      <c r="U120" s="153"/>
      <c r="V120" s="153"/>
      <c r="W120" s="153"/>
      <c r="X120" s="154"/>
      <c r="Y120" s="154"/>
      <c r="Z120" s="154"/>
    </row>
    <row r="121" spans="1:26" ht="15.75" customHeight="1">
      <c r="A121" s="153"/>
      <c r="B121" s="161"/>
      <c r="C121" s="161"/>
      <c r="D121" s="153"/>
      <c r="E121" s="153"/>
      <c r="F121" s="153"/>
      <c r="G121" s="153"/>
      <c r="H121" s="153"/>
      <c r="I121" s="153"/>
      <c r="J121" s="153"/>
      <c r="K121" s="153"/>
      <c r="L121" s="153"/>
      <c r="M121" s="153"/>
      <c r="N121" s="153"/>
      <c r="O121" s="153"/>
      <c r="P121" s="153"/>
      <c r="Q121" s="153"/>
      <c r="R121" s="153"/>
      <c r="S121" s="153"/>
      <c r="T121" s="153"/>
      <c r="U121" s="153"/>
      <c r="V121" s="153"/>
      <c r="W121" s="153"/>
      <c r="X121" s="154"/>
      <c r="Y121" s="154"/>
      <c r="Z121" s="154"/>
    </row>
    <row r="122" spans="1:26" ht="15.75" customHeight="1">
      <c r="A122" s="153"/>
      <c r="B122" s="161"/>
      <c r="C122" s="161"/>
      <c r="D122" s="153"/>
      <c r="E122" s="153"/>
      <c r="F122" s="153"/>
      <c r="G122" s="153"/>
      <c r="H122" s="153"/>
      <c r="I122" s="153"/>
      <c r="J122" s="153"/>
      <c r="K122" s="153"/>
      <c r="L122" s="153"/>
      <c r="M122" s="153"/>
      <c r="N122" s="153"/>
      <c r="O122" s="153"/>
      <c r="P122" s="153"/>
      <c r="Q122" s="153"/>
      <c r="R122" s="153"/>
      <c r="S122" s="153"/>
      <c r="T122" s="153"/>
      <c r="U122" s="153"/>
      <c r="V122" s="153"/>
      <c r="W122" s="153"/>
      <c r="X122" s="154"/>
      <c r="Y122" s="154"/>
      <c r="Z122" s="154"/>
    </row>
    <row r="123" spans="1:26" ht="15.75" customHeight="1">
      <c r="A123" s="153"/>
      <c r="B123" s="161"/>
      <c r="C123" s="161"/>
      <c r="D123" s="153"/>
      <c r="E123" s="153"/>
      <c r="F123" s="153"/>
      <c r="G123" s="153"/>
      <c r="H123" s="153"/>
      <c r="I123" s="153"/>
      <c r="J123" s="153"/>
      <c r="K123" s="153"/>
      <c r="L123" s="153"/>
      <c r="M123" s="153"/>
      <c r="N123" s="153"/>
      <c r="O123" s="153"/>
      <c r="P123" s="153"/>
      <c r="Q123" s="153"/>
      <c r="R123" s="153"/>
      <c r="S123" s="153"/>
      <c r="T123" s="153"/>
      <c r="U123" s="153"/>
      <c r="V123" s="153"/>
      <c r="W123" s="153"/>
      <c r="X123" s="154"/>
      <c r="Y123" s="154"/>
      <c r="Z123" s="154"/>
    </row>
    <row r="124" spans="1:26" ht="15.75" customHeight="1">
      <c r="A124" s="153"/>
      <c r="B124" s="161"/>
      <c r="C124" s="161"/>
      <c r="D124" s="153"/>
      <c r="E124" s="153"/>
      <c r="F124" s="153"/>
      <c r="G124" s="153"/>
      <c r="H124" s="153"/>
      <c r="I124" s="153"/>
      <c r="J124" s="153"/>
      <c r="K124" s="153"/>
      <c r="L124" s="153"/>
      <c r="M124" s="153"/>
      <c r="N124" s="153"/>
      <c r="O124" s="153"/>
      <c r="P124" s="153"/>
      <c r="Q124" s="153"/>
      <c r="R124" s="153"/>
      <c r="S124" s="153"/>
      <c r="T124" s="153"/>
      <c r="U124" s="153"/>
      <c r="V124" s="153"/>
      <c r="W124" s="153"/>
      <c r="X124" s="154"/>
      <c r="Y124" s="154"/>
      <c r="Z124" s="154"/>
    </row>
    <row r="125" spans="1:26" ht="15.75" customHeight="1">
      <c r="A125" s="153"/>
      <c r="B125" s="161"/>
      <c r="C125" s="161"/>
      <c r="D125" s="153"/>
      <c r="E125" s="153"/>
      <c r="F125" s="153"/>
      <c r="G125" s="153"/>
      <c r="H125" s="153"/>
      <c r="I125" s="153"/>
      <c r="J125" s="153"/>
      <c r="K125" s="153"/>
      <c r="L125" s="153"/>
      <c r="M125" s="153"/>
      <c r="N125" s="153"/>
      <c r="O125" s="153"/>
      <c r="P125" s="153"/>
      <c r="Q125" s="153"/>
      <c r="R125" s="153"/>
      <c r="S125" s="153"/>
      <c r="T125" s="153"/>
      <c r="U125" s="153"/>
      <c r="V125" s="153"/>
      <c r="W125" s="153"/>
      <c r="X125" s="154"/>
      <c r="Y125" s="154"/>
      <c r="Z125" s="154"/>
    </row>
    <row r="126" spans="1:26" ht="15.75" customHeight="1">
      <c r="A126" s="153"/>
      <c r="B126" s="161"/>
      <c r="C126" s="161"/>
      <c r="D126" s="153"/>
      <c r="E126" s="153"/>
      <c r="F126" s="153"/>
      <c r="G126" s="153"/>
      <c r="H126" s="153"/>
      <c r="I126" s="153"/>
      <c r="J126" s="153"/>
      <c r="K126" s="153"/>
      <c r="L126" s="153"/>
      <c r="M126" s="153"/>
      <c r="N126" s="153"/>
      <c r="O126" s="153"/>
      <c r="P126" s="153"/>
      <c r="Q126" s="153"/>
      <c r="R126" s="153"/>
      <c r="S126" s="153"/>
      <c r="T126" s="153"/>
      <c r="U126" s="153"/>
      <c r="V126" s="153"/>
      <c r="W126" s="153"/>
      <c r="X126" s="154"/>
      <c r="Y126" s="154"/>
      <c r="Z126" s="154"/>
    </row>
    <row r="127" spans="1:26" ht="15.75" customHeight="1">
      <c r="A127" s="153"/>
      <c r="B127" s="161"/>
      <c r="C127" s="161"/>
      <c r="D127" s="153"/>
      <c r="E127" s="153"/>
      <c r="F127" s="153"/>
      <c r="G127" s="153"/>
      <c r="H127" s="153"/>
      <c r="I127" s="153"/>
      <c r="J127" s="153"/>
      <c r="K127" s="153"/>
      <c r="L127" s="153"/>
      <c r="M127" s="153"/>
      <c r="N127" s="153"/>
      <c r="O127" s="153"/>
      <c r="P127" s="153"/>
      <c r="Q127" s="153"/>
      <c r="R127" s="153"/>
      <c r="S127" s="153"/>
      <c r="T127" s="153"/>
      <c r="U127" s="153"/>
      <c r="V127" s="153"/>
      <c r="W127" s="153"/>
      <c r="X127" s="154"/>
      <c r="Y127" s="154"/>
      <c r="Z127" s="154"/>
    </row>
    <row r="128" spans="1:26" ht="15.75" customHeight="1">
      <c r="A128" s="153"/>
      <c r="B128" s="161"/>
      <c r="C128" s="161"/>
      <c r="D128" s="153"/>
      <c r="E128" s="153"/>
      <c r="F128" s="153"/>
      <c r="G128" s="153"/>
      <c r="H128" s="153"/>
      <c r="I128" s="153"/>
      <c r="J128" s="153"/>
      <c r="K128" s="153"/>
      <c r="L128" s="153"/>
      <c r="M128" s="153"/>
      <c r="N128" s="153"/>
      <c r="O128" s="153"/>
      <c r="P128" s="153"/>
      <c r="Q128" s="153"/>
      <c r="R128" s="153"/>
      <c r="S128" s="153"/>
      <c r="T128" s="153"/>
      <c r="U128" s="153"/>
      <c r="V128" s="153"/>
      <c r="W128" s="153"/>
      <c r="X128" s="154"/>
      <c r="Y128" s="154"/>
      <c r="Z128" s="154"/>
    </row>
    <row r="129" spans="1:26" ht="15.75" customHeight="1">
      <c r="A129" s="153"/>
      <c r="B129" s="161"/>
      <c r="C129" s="161"/>
      <c r="D129" s="153"/>
      <c r="E129" s="153"/>
      <c r="F129" s="153"/>
      <c r="G129" s="153"/>
      <c r="H129" s="153"/>
      <c r="I129" s="153"/>
      <c r="J129" s="153"/>
      <c r="K129" s="153"/>
      <c r="L129" s="153"/>
      <c r="M129" s="153"/>
      <c r="N129" s="153"/>
      <c r="O129" s="153"/>
      <c r="P129" s="153"/>
      <c r="Q129" s="153"/>
      <c r="R129" s="153"/>
      <c r="S129" s="153"/>
      <c r="T129" s="153"/>
      <c r="U129" s="153"/>
      <c r="V129" s="153"/>
      <c r="W129" s="153"/>
      <c r="X129" s="154"/>
      <c r="Y129" s="154"/>
      <c r="Z129" s="154"/>
    </row>
    <row r="130" spans="1:26" ht="15.75" customHeight="1">
      <c r="A130" s="153"/>
      <c r="B130" s="161"/>
      <c r="C130" s="161"/>
      <c r="D130" s="153"/>
      <c r="E130" s="153"/>
      <c r="F130" s="153"/>
      <c r="G130" s="153"/>
      <c r="H130" s="153"/>
      <c r="I130" s="153"/>
      <c r="J130" s="153"/>
      <c r="K130" s="153"/>
      <c r="L130" s="153"/>
      <c r="M130" s="153"/>
      <c r="N130" s="153"/>
      <c r="O130" s="153"/>
      <c r="P130" s="153"/>
      <c r="Q130" s="153"/>
      <c r="R130" s="153"/>
      <c r="S130" s="153"/>
      <c r="T130" s="153"/>
      <c r="U130" s="153"/>
      <c r="V130" s="153"/>
      <c r="W130" s="153"/>
      <c r="X130" s="154"/>
      <c r="Y130" s="154"/>
      <c r="Z130" s="154"/>
    </row>
    <row r="131" spans="1:26" ht="15.75" customHeight="1">
      <c r="A131" s="153"/>
      <c r="B131" s="161"/>
      <c r="C131" s="161"/>
      <c r="D131" s="153"/>
      <c r="E131" s="153"/>
      <c r="F131" s="153"/>
      <c r="G131" s="153"/>
      <c r="H131" s="153"/>
      <c r="I131" s="153"/>
      <c r="J131" s="153"/>
      <c r="K131" s="153"/>
      <c r="L131" s="153"/>
      <c r="M131" s="153"/>
      <c r="N131" s="153"/>
      <c r="O131" s="153"/>
      <c r="P131" s="153"/>
      <c r="Q131" s="153"/>
      <c r="R131" s="153"/>
      <c r="S131" s="153"/>
      <c r="T131" s="153"/>
      <c r="U131" s="153"/>
      <c r="V131" s="153"/>
      <c r="W131" s="153"/>
      <c r="X131" s="154"/>
      <c r="Y131" s="154"/>
      <c r="Z131" s="154"/>
    </row>
    <row r="132" spans="1:26" ht="15.75" customHeight="1">
      <c r="A132" s="153"/>
      <c r="B132" s="161"/>
      <c r="C132" s="161"/>
      <c r="D132" s="153"/>
      <c r="E132" s="153"/>
      <c r="F132" s="153"/>
      <c r="G132" s="153"/>
      <c r="H132" s="153"/>
      <c r="I132" s="153"/>
      <c r="J132" s="153"/>
      <c r="K132" s="153"/>
      <c r="L132" s="153"/>
      <c r="M132" s="153"/>
      <c r="N132" s="153"/>
      <c r="O132" s="153"/>
      <c r="P132" s="153"/>
      <c r="Q132" s="153"/>
      <c r="R132" s="153"/>
      <c r="S132" s="153"/>
      <c r="T132" s="153"/>
      <c r="U132" s="153"/>
      <c r="V132" s="153"/>
      <c r="W132" s="153"/>
      <c r="X132" s="154"/>
      <c r="Y132" s="154"/>
      <c r="Z132" s="154"/>
    </row>
    <row r="133" spans="1:26" ht="15.75" customHeight="1">
      <c r="A133" s="153"/>
      <c r="B133" s="161"/>
      <c r="C133" s="161"/>
      <c r="D133" s="153"/>
      <c r="E133" s="153"/>
      <c r="F133" s="153"/>
      <c r="G133" s="153"/>
      <c r="H133" s="153"/>
      <c r="I133" s="153"/>
      <c r="J133" s="153"/>
      <c r="K133" s="153"/>
      <c r="L133" s="153"/>
      <c r="M133" s="153"/>
      <c r="N133" s="153"/>
      <c r="O133" s="153"/>
      <c r="P133" s="153"/>
      <c r="Q133" s="153"/>
      <c r="R133" s="153"/>
      <c r="S133" s="153"/>
      <c r="T133" s="153"/>
      <c r="U133" s="153"/>
      <c r="V133" s="153"/>
      <c r="W133" s="153"/>
      <c r="X133" s="154"/>
      <c r="Y133" s="154"/>
      <c r="Z133" s="154"/>
    </row>
    <row r="134" spans="1:26" ht="15.75" customHeight="1">
      <c r="A134" s="153"/>
      <c r="B134" s="161"/>
      <c r="C134" s="161"/>
      <c r="D134" s="153"/>
      <c r="E134" s="153"/>
      <c r="F134" s="153"/>
      <c r="G134" s="153"/>
      <c r="H134" s="153"/>
      <c r="I134" s="153"/>
      <c r="J134" s="153"/>
      <c r="K134" s="153"/>
      <c r="L134" s="153"/>
      <c r="M134" s="153"/>
      <c r="N134" s="153"/>
      <c r="O134" s="153"/>
      <c r="P134" s="153"/>
      <c r="Q134" s="153"/>
      <c r="R134" s="153"/>
      <c r="S134" s="153"/>
      <c r="T134" s="153"/>
      <c r="U134" s="153"/>
      <c r="V134" s="153"/>
      <c r="W134" s="153"/>
      <c r="X134" s="154"/>
      <c r="Y134" s="154"/>
      <c r="Z134" s="154"/>
    </row>
    <row r="135" spans="1:26" ht="15.75" customHeight="1">
      <c r="A135" s="153"/>
      <c r="B135" s="161"/>
      <c r="C135" s="161"/>
      <c r="D135" s="153"/>
      <c r="E135" s="153"/>
      <c r="F135" s="153"/>
      <c r="G135" s="153"/>
      <c r="H135" s="153"/>
      <c r="I135" s="153"/>
      <c r="J135" s="153"/>
      <c r="K135" s="153"/>
      <c r="L135" s="153"/>
      <c r="M135" s="153"/>
      <c r="N135" s="153"/>
      <c r="O135" s="153"/>
      <c r="P135" s="153"/>
      <c r="Q135" s="153"/>
      <c r="R135" s="153"/>
      <c r="S135" s="153"/>
      <c r="T135" s="153"/>
      <c r="U135" s="153"/>
      <c r="V135" s="153"/>
      <c r="W135" s="153"/>
      <c r="X135" s="154"/>
      <c r="Y135" s="154"/>
      <c r="Z135" s="154"/>
    </row>
    <row r="136" spans="1:26" ht="15.75" customHeight="1">
      <c r="A136" s="153"/>
      <c r="B136" s="161"/>
      <c r="C136" s="161"/>
      <c r="D136" s="153"/>
      <c r="E136" s="153"/>
      <c r="F136" s="153"/>
      <c r="G136" s="153"/>
      <c r="H136" s="153"/>
      <c r="I136" s="153"/>
      <c r="J136" s="153"/>
      <c r="K136" s="153"/>
      <c r="L136" s="153"/>
      <c r="M136" s="153"/>
      <c r="N136" s="153"/>
      <c r="O136" s="153"/>
      <c r="P136" s="153"/>
      <c r="Q136" s="153"/>
      <c r="R136" s="153"/>
      <c r="S136" s="153"/>
      <c r="T136" s="153"/>
      <c r="U136" s="153"/>
      <c r="V136" s="153"/>
      <c r="W136" s="153"/>
      <c r="X136" s="154"/>
      <c r="Y136" s="154"/>
      <c r="Z136" s="154"/>
    </row>
    <row r="137" spans="1:26" ht="15.75" customHeight="1">
      <c r="A137" s="153"/>
      <c r="B137" s="161"/>
      <c r="C137" s="161"/>
      <c r="D137" s="153"/>
      <c r="E137" s="153"/>
      <c r="F137" s="153"/>
      <c r="G137" s="153"/>
      <c r="H137" s="153"/>
      <c r="I137" s="153"/>
      <c r="J137" s="153"/>
      <c r="K137" s="153"/>
      <c r="L137" s="153"/>
      <c r="M137" s="153"/>
      <c r="N137" s="153"/>
      <c r="O137" s="153"/>
      <c r="P137" s="153"/>
      <c r="Q137" s="153"/>
      <c r="R137" s="153"/>
      <c r="S137" s="153"/>
      <c r="T137" s="153"/>
      <c r="U137" s="153"/>
      <c r="V137" s="153"/>
      <c r="W137" s="153"/>
      <c r="X137" s="154"/>
      <c r="Y137" s="154"/>
      <c r="Z137" s="154"/>
    </row>
    <row r="138" spans="1:26" ht="15.75" customHeight="1">
      <c r="A138" s="153"/>
      <c r="B138" s="161"/>
      <c r="C138" s="161"/>
      <c r="D138" s="153"/>
      <c r="E138" s="153"/>
      <c r="F138" s="153"/>
      <c r="G138" s="153"/>
      <c r="H138" s="153"/>
      <c r="I138" s="153"/>
      <c r="J138" s="153"/>
      <c r="K138" s="153"/>
      <c r="L138" s="153"/>
      <c r="M138" s="153"/>
      <c r="N138" s="153"/>
      <c r="O138" s="153"/>
      <c r="P138" s="153"/>
      <c r="Q138" s="153"/>
      <c r="R138" s="153"/>
      <c r="S138" s="153"/>
      <c r="T138" s="153"/>
      <c r="U138" s="153"/>
      <c r="V138" s="153"/>
      <c r="W138" s="153"/>
      <c r="X138" s="154"/>
      <c r="Y138" s="154"/>
      <c r="Z138" s="154"/>
    </row>
    <row r="139" spans="1:26" ht="15.75" customHeight="1">
      <c r="A139" s="153"/>
      <c r="B139" s="161"/>
      <c r="C139" s="161"/>
      <c r="D139" s="153"/>
      <c r="E139" s="153"/>
      <c r="F139" s="153"/>
      <c r="G139" s="153"/>
      <c r="H139" s="153"/>
      <c r="I139" s="153"/>
      <c r="J139" s="153"/>
      <c r="K139" s="153"/>
      <c r="L139" s="153"/>
      <c r="M139" s="153"/>
      <c r="N139" s="153"/>
      <c r="O139" s="153"/>
      <c r="P139" s="153"/>
      <c r="Q139" s="153"/>
      <c r="R139" s="153"/>
      <c r="S139" s="153"/>
      <c r="T139" s="153"/>
      <c r="U139" s="153"/>
      <c r="V139" s="153"/>
      <c r="W139" s="153"/>
      <c r="X139" s="154"/>
      <c r="Y139" s="154"/>
      <c r="Z139" s="154"/>
    </row>
    <row r="140" spans="1:26" ht="15.75" customHeight="1">
      <c r="A140" s="153"/>
      <c r="B140" s="161"/>
      <c r="C140" s="161"/>
      <c r="D140" s="153"/>
      <c r="E140" s="153"/>
      <c r="F140" s="153"/>
      <c r="G140" s="153"/>
      <c r="H140" s="153"/>
      <c r="I140" s="153"/>
      <c r="J140" s="153"/>
      <c r="K140" s="153"/>
      <c r="L140" s="153"/>
      <c r="M140" s="153"/>
      <c r="N140" s="153"/>
      <c r="O140" s="153"/>
      <c r="P140" s="153"/>
      <c r="Q140" s="153"/>
      <c r="R140" s="153"/>
      <c r="S140" s="153"/>
      <c r="T140" s="153"/>
      <c r="U140" s="153"/>
      <c r="V140" s="153"/>
      <c r="W140" s="153"/>
      <c r="X140" s="154"/>
      <c r="Y140" s="154"/>
      <c r="Z140" s="154"/>
    </row>
    <row r="141" spans="1:26" ht="15.75" customHeight="1">
      <c r="A141" s="153"/>
      <c r="B141" s="161"/>
      <c r="C141" s="161"/>
      <c r="D141" s="153"/>
      <c r="E141" s="153"/>
      <c r="F141" s="153"/>
      <c r="G141" s="153"/>
      <c r="H141" s="153"/>
      <c r="I141" s="153"/>
      <c r="J141" s="153"/>
      <c r="K141" s="153"/>
      <c r="L141" s="153"/>
      <c r="M141" s="153"/>
      <c r="N141" s="153"/>
      <c r="O141" s="153"/>
      <c r="P141" s="153"/>
      <c r="Q141" s="153"/>
      <c r="R141" s="153"/>
      <c r="S141" s="153"/>
      <c r="T141" s="153"/>
      <c r="U141" s="153"/>
      <c r="V141" s="153"/>
      <c r="W141" s="153"/>
      <c r="X141" s="154"/>
      <c r="Y141" s="154"/>
      <c r="Z141" s="154"/>
    </row>
    <row r="142" spans="1:26" ht="15.75" customHeight="1">
      <c r="A142" s="153"/>
      <c r="B142" s="161"/>
      <c r="C142" s="161"/>
      <c r="D142" s="153"/>
      <c r="E142" s="153"/>
      <c r="F142" s="153"/>
      <c r="G142" s="153"/>
      <c r="H142" s="153"/>
      <c r="I142" s="153"/>
      <c r="J142" s="153"/>
      <c r="K142" s="153"/>
      <c r="L142" s="153"/>
      <c r="M142" s="153"/>
      <c r="N142" s="153"/>
      <c r="O142" s="153"/>
      <c r="P142" s="153"/>
      <c r="Q142" s="153"/>
      <c r="R142" s="153"/>
      <c r="S142" s="153"/>
      <c r="T142" s="153"/>
      <c r="U142" s="153"/>
      <c r="V142" s="153"/>
      <c r="W142" s="153"/>
      <c r="X142" s="154"/>
      <c r="Y142" s="154"/>
      <c r="Z142" s="154"/>
    </row>
    <row r="143" spans="1:26" ht="15.75" customHeight="1">
      <c r="A143" s="153"/>
      <c r="B143" s="161"/>
      <c r="C143" s="161"/>
      <c r="D143" s="153"/>
      <c r="E143" s="153"/>
      <c r="F143" s="153"/>
      <c r="G143" s="153"/>
      <c r="H143" s="153"/>
      <c r="I143" s="153"/>
      <c r="J143" s="153"/>
      <c r="K143" s="153"/>
      <c r="L143" s="153"/>
      <c r="M143" s="153"/>
      <c r="N143" s="153"/>
      <c r="O143" s="153"/>
      <c r="P143" s="153"/>
      <c r="Q143" s="153"/>
      <c r="R143" s="153"/>
      <c r="S143" s="153"/>
      <c r="T143" s="153"/>
      <c r="U143" s="153"/>
      <c r="V143" s="153"/>
      <c r="W143" s="153"/>
      <c r="X143" s="154"/>
      <c r="Y143" s="154"/>
      <c r="Z143" s="154"/>
    </row>
    <row r="144" spans="1:26" ht="15.75" customHeight="1">
      <c r="A144" s="153"/>
      <c r="B144" s="161"/>
      <c r="C144" s="161"/>
      <c r="D144" s="153"/>
      <c r="E144" s="153"/>
      <c r="F144" s="153"/>
      <c r="G144" s="153"/>
      <c r="H144" s="153"/>
      <c r="I144" s="153"/>
      <c r="J144" s="153"/>
      <c r="K144" s="153"/>
      <c r="L144" s="153"/>
      <c r="M144" s="153"/>
      <c r="N144" s="153"/>
      <c r="O144" s="153"/>
      <c r="P144" s="153"/>
      <c r="Q144" s="153"/>
      <c r="R144" s="153"/>
      <c r="S144" s="153"/>
      <c r="T144" s="153"/>
      <c r="U144" s="153"/>
      <c r="V144" s="153"/>
      <c r="W144" s="153"/>
      <c r="X144" s="154"/>
      <c r="Y144" s="154"/>
      <c r="Z144" s="154"/>
    </row>
    <row r="145" spans="1:26" ht="15.75" customHeight="1">
      <c r="A145" s="153"/>
      <c r="B145" s="161"/>
      <c r="C145" s="161"/>
      <c r="D145" s="153"/>
      <c r="E145" s="153"/>
      <c r="F145" s="153"/>
      <c r="G145" s="153"/>
      <c r="H145" s="153"/>
      <c r="I145" s="153"/>
      <c r="J145" s="153"/>
      <c r="K145" s="153"/>
      <c r="L145" s="153"/>
      <c r="M145" s="153"/>
      <c r="N145" s="153"/>
      <c r="O145" s="153"/>
      <c r="P145" s="153"/>
      <c r="Q145" s="153"/>
      <c r="R145" s="153"/>
      <c r="S145" s="153"/>
      <c r="T145" s="153"/>
      <c r="U145" s="153"/>
      <c r="V145" s="153"/>
      <c r="W145" s="153"/>
      <c r="X145" s="154"/>
      <c r="Y145" s="154"/>
      <c r="Z145" s="154"/>
    </row>
    <row r="146" spans="1:26" ht="15.75" customHeight="1">
      <c r="A146" s="153"/>
      <c r="B146" s="161"/>
      <c r="C146" s="161"/>
      <c r="D146" s="153"/>
      <c r="E146" s="153"/>
      <c r="F146" s="153"/>
      <c r="G146" s="153"/>
      <c r="H146" s="153"/>
      <c r="I146" s="153"/>
      <c r="J146" s="153"/>
      <c r="K146" s="153"/>
      <c r="L146" s="153"/>
      <c r="M146" s="153"/>
      <c r="N146" s="153"/>
      <c r="O146" s="153"/>
      <c r="P146" s="153"/>
      <c r="Q146" s="153"/>
      <c r="R146" s="153"/>
      <c r="S146" s="153"/>
      <c r="T146" s="153"/>
      <c r="U146" s="153"/>
      <c r="V146" s="153"/>
      <c r="W146" s="153"/>
      <c r="X146" s="154"/>
      <c r="Y146" s="154"/>
      <c r="Z146" s="154"/>
    </row>
    <row r="147" spans="1:26" ht="15.75" customHeight="1">
      <c r="A147" s="153"/>
      <c r="B147" s="161"/>
      <c r="C147" s="161"/>
      <c r="D147" s="153"/>
      <c r="E147" s="153"/>
      <c r="F147" s="153"/>
      <c r="G147" s="153"/>
      <c r="H147" s="153"/>
      <c r="I147" s="153"/>
      <c r="J147" s="153"/>
      <c r="K147" s="153"/>
      <c r="L147" s="153"/>
      <c r="M147" s="153"/>
      <c r="N147" s="153"/>
      <c r="O147" s="153"/>
      <c r="P147" s="153"/>
      <c r="Q147" s="153"/>
      <c r="R147" s="153"/>
      <c r="S147" s="153"/>
      <c r="T147" s="153"/>
      <c r="U147" s="153"/>
      <c r="V147" s="153"/>
      <c r="W147" s="153"/>
      <c r="X147" s="154"/>
      <c r="Y147" s="154"/>
      <c r="Z147" s="154"/>
    </row>
    <row r="148" spans="1:26" ht="15.75" customHeight="1">
      <c r="A148" s="153"/>
      <c r="B148" s="161"/>
      <c r="C148" s="161"/>
      <c r="D148" s="153"/>
      <c r="E148" s="153"/>
      <c r="F148" s="153"/>
      <c r="G148" s="153"/>
      <c r="H148" s="153"/>
      <c r="I148" s="153"/>
      <c r="J148" s="153"/>
      <c r="K148" s="153"/>
      <c r="L148" s="153"/>
      <c r="M148" s="153"/>
      <c r="N148" s="153"/>
      <c r="O148" s="153"/>
      <c r="P148" s="153"/>
      <c r="Q148" s="153"/>
      <c r="R148" s="153"/>
      <c r="S148" s="153"/>
      <c r="T148" s="153"/>
      <c r="U148" s="153"/>
      <c r="V148" s="153"/>
      <c r="W148" s="153"/>
      <c r="X148" s="154"/>
      <c r="Y148" s="154"/>
      <c r="Z148" s="154"/>
    </row>
    <row r="149" spans="1:26" ht="15.75" customHeight="1">
      <c r="A149" s="153"/>
      <c r="B149" s="161"/>
      <c r="C149" s="161"/>
      <c r="D149" s="153"/>
      <c r="E149" s="153"/>
      <c r="F149" s="153"/>
      <c r="G149" s="153"/>
      <c r="H149" s="153"/>
      <c r="I149" s="153"/>
      <c r="J149" s="153"/>
      <c r="K149" s="153"/>
      <c r="L149" s="153"/>
      <c r="M149" s="153"/>
      <c r="N149" s="153"/>
      <c r="O149" s="153"/>
      <c r="P149" s="153"/>
      <c r="Q149" s="153"/>
      <c r="R149" s="153"/>
      <c r="S149" s="153"/>
      <c r="T149" s="153"/>
      <c r="U149" s="153"/>
      <c r="V149" s="153"/>
      <c r="W149" s="153"/>
      <c r="X149" s="154"/>
      <c r="Y149" s="154"/>
      <c r="Z149" s="154"/>
    </row>
    <row r="150" spans="1:26" ht="15.75" customHeight="1">
      <c r="A150" s="153"/>
      <c r="B150" s="161"/>
      <c r="C150" s="161"/>
      <c r="D150" s="153"/>
      <c r="E150" s="153"/>
      <c r="F150" s="153"/>
      <c r="G150" s="153"/>
      <c r="H150" s="153"/>
      <c r="I150" s="153"/>
      <c r="J150" s="153"/>
      <c r="K150" s="153"/>
      <c r="L150" s="153"/>
      <c r="M150" s="153"/>
      <c r="N150" s="153"/>
      <c r="O150" s="153"/>
      <c r="P150" s="153"/>
      <c r="Q150" s="153"/>
      <c r="R150" s="153"/>
      <c r="S150" s="153"/>
      <c r="T150" s="153"/>
      <c r="U150" s="153"/>
      <c r="V150" s="153"/>
      <c r="W150" s="153"/>
      <c r="X150" s="154"/>
      <c r="Y150" s="154"/>
      <c r="Z150" s="154"/>
    </row>
    <row r="151" spans="1:26" ht="15.75" customHeight="1">
      <c r="A151" s="153"/>
      <c r="B151" s="161"/>
      <c r="C151" s="161"/>
      <c r="D151" s="153"/>
      <c r="E151" s="153"/>
      <c r="F151" s="153"/>
      <c r="G151" s="153"/>
      <c r="H151" s="153"/>
      <c r="I151" s="153"/>
      <c r="J151" s="153"/>
      <c r="K151" s="153"/>
      <c r="L151" s="153"/>
      <c r="M151" s="153"/>
      <c r="N151" s="153"/>
      <c r="O151" s="153"/>
      <c r="P151" s="153"/>
      <c r="Q151" s="153"/>
      <c r="R151" s="153"/>
      <c r="S151" s="153"/>
      <c r="T151" s="153"/>
      <c r="U151" s="153"/>
      <c r="V151" s="153"/>
      <c r="W151" s="153"/>
      <c r="X151" s="154"/>
      <c r="Y151" s="154"/>
      <c r="Z151" s="154"/>
    </row>
    <row r="152" spans="1:26" ht="15.75" customHeight="1">
      <c r="A152" s="153"/>
      <c r="B152" s="161"/>
      <c r="C152" s="161"/>
      <c r="D152" s="153"/>
      <c r="E152" s="153"/>
      <c r="F152" s="153"/>
      <c r="G152" s="153"/>
      <c r="H152" s="153"/>
      <c r="I152" s="153"/>
      <c r="J152" s="153"/>
      <c r="K152" s="153"/>
      <c r="L152" s="153"/>
      <c r="M152" s="153"/>
      <c r="N152" s="153"/>
      <c r="O152" s="153"/>
      <c r="P152" s="153"/>
      <c r="Q152" s="153"/>
      <c r="R152" s="153"/>
      <c r="S152" s="153"/>
      <c r="T152" s="153"/>
      <c r="U152" s="153"/>
      <c r="V152" s="153"/>
      <c r="W152" s="153"/>
      <c r="X152" s="154"/>
      <c r="Y152" s="154"/>
      <c r="Z152" s="154"/>
    </row>
    <row r="153" spans="1:26" ht="15.75" customHeight="1">
      <c r="A153" s="153"/>
      <c r="B153" s="161"/>
      <c r="C153" s="161"/>
      <c r="D153" s="153"/>
      <c r="E153" s="153"/>
      <c r="F153" s="153"/>
      <c r="G153" s="153"/>
      <c r="H153" s="153"/>
      <c r="I153" s="153"/>
      <c r="J153" s="153"/>
      <c r="K153" s="153"/>
      <c r="L153" s="153"/>
      <c r="M153" s="153"/>
      <c r="N153" s="153"/>
      <c r="O153" s="153"/>
      <c r="P153" s="153"/>
      <c r="Q153" s="153"/>
      <c r="R153" s="153"/>
      <c r="S153" s="153"/>
      <c r="T153" s="153"/>
      <c r="U153" s="153"/>
      <c r="V153" s="153"/>
      <c r="W153" s="153"/>
      <c r="X153" s="154"/>
      <c r="Y153" s="154"/>
      <c r="Z153" s="154"/>
    </row>
    <row r="154" spans="1:26" ht="15.75" customHeight="1">
      <c r="A154" s="153"/>
      <c r="B154" s="161"/>
      <c r="C154" s="161"/>
      <c r="D154" s="153"/>
      <c r="E154" s="153"/>
      <c r="F154" s="153"/>
      <c r="G154" s="153"/>
      <c r="H154" s="153"/>
      <c r="I154" s="153"/>
      <c r="J154" s="153"/>
      <c r="K154" s="153"/>
      <c r="L154" s="153"/>
      <c r="M154" s="153"/>
      <c r="N154" s="153"/>
      <c r="O154" s="153"/>
      <c r="P154" s="153"/>
      <c r="Q154" s="153"/>
      <c r="R154" s="153"/>
      <c r="S154" s="153"/>
      <c r="T154" s="153"/>
      <c r="U154" s="153"/>
      <c r="V154" s="153"/>
      <c r="W154" s="153"/>
      <c r="X154" s="154"/>
      <c r="Y154" s="154"/>
      <c r="Z154" s="154"/>
    </row>
    <row r="155" spans="1:26" ht="15.75" customHeight="1">
      <c r="A155" s="153"/>
      <c r="B155" s="161"/>
      <c r="C155" s="161"/>
      <c r="D155" s="153"/>
      <c r="E155" s="153"/>
      <c r="F155" s="153"/>
      <c r="G155" s="153"/>
      <c r="H155" s="153"/>
      <c r="I155" s="153"/>
      <c r="J155" s="153"/>
      <c r="K155" s="153"/>
      <c r="L155" s="153"/>
      <c r="M155" s="153"/>
      <c r="N155" s="153"/>
      <c r="O155" s="153"/>
      <c r="P155" s="153"/>
      <c r="Q155" s="153"/>
      <c r="R155" s="153"/>
      <c r="S155" s="153"/>
      <c r="T155" s="153"/>
      <c r="U155" s="153"/>
      <c r="V155" s="153"/>
      <c r="W155" s="153"/>
      <c r="X155" s="154"/>
      <c r="Y155" s="154"/>
      <c r="Z155" s="154"/>
    </row>
    <row r="156" spans="1:26" ht="15.75" customHeight="1">
      <c r="A156" s="153"/>
      <c r="B156" s="161"/>
      <c r="C156" s="161"/>
      <c r="D156" s="153"/>
      <c r="E156" s="153"/>
      <c r="F156" s="153"/>
      <c r="G156" s="153"/>
      <c r="H156" s="153"/>
      <c r="I156" s="153"/>
      <c r="J156" s="153"/>
      <c r="K156" s="153"/>
      <c r="L156" s="153"/>
      <c r="M156" s="153"/>
      <c r="N156" s="153"/>
      <c r="O156" s="153"/>
      <c r="P156" s="153"/>
      <c r="Q156" s="153"/>
      <c r="R156" s="153"/>
      <c r="S156" s="153"/>
      <c r="T156" s="153"/>
      <c r="U156" s="153"/>
      <c r="V156" s="153"/>
      <c r="W156" s="153"/>
      <c r="X156" s="154"/>
      <c r="Y156" s="154"/>
      <c r="Z156" s="154"/>
    </row>
    <row r="157" spans="1:26" ht="15.75" customHeight="1">
      <c r="A157" s="153"/>
      <c r="B157" s="161"/>
      <c r="C157" s="161"/>
      <c r="D157" s="153"/>
      <c r="E157" s="153"/>
      <c r="F157" s="153"/>
      <c r="G157" s="153"/>
      <c r="H157" s="153"/>
      <c r="I157" s="153"/>
      <c r="J157" s="153"/>
      <c r="K157" s="153"/>
      <c r="L157" s="153"/>
      <c r="M157" s="153"/>
      <c r="N157" s="153"/>
      <c r="O157" s="153"/>
      <c r="P157" s="153"/>
      <c r="Q157" s="153"/>
      <c r="R157" s="153"/>
      <c r="S157" s="153"/>
      <c r="T157" s="153"/>
      <c r="U157" s="153"/>
      <c r="V157" s="153"/>
      <c r="W157" s="153"/>
      <c r="X157" s="154"/>
      <c r="Y157" s="154"/>
      <c r="Z157" s="154"/>
    </row>
    <row r="158" spans="1:26" ht="15.75" customHeight="1">
      <c r="A158" s="153"/>
      <c r="B158" s="161"/>
      <c r="C158" s="161"/>
      <c r="D158" s="153"/>
      <c r="E158" s="153"/>
      <c r="F158" s="153"/>
      <c r="G158" s="153"/>
      <c r="H158" s="153"/>
      <c r="I158" s="153"/>
      <c r="J158" s="153"/>
      <c r="K158" s="153"/>
      <c r="L158" s="153"/>
      <c r="M158" s="153"/>
      <c r="N158" s="153"/>
      <c r="O158" s="153"/>
      <c r="P158" s="153"/>
      <c r="Q158" s="153"/>
      <c r="R158" s="153"/>
      <c r="S158" s="153"/>
      <c r="T158" s="153"/>
      <c r="U158" s="153"/>
      <c r="V158" s="153"/>
      <c r="W158" s="153"/>
      <c r="X158" s="154"/>
      <c r="Y158" s="154"/>
      <c r="Z158" s="154"/>
    </row>
    <row r="159" spans="1:26" ht="15.75" customHeight="1">
      <c r="A159" s="153"/>
      <c r="B159" s="161"/>
      <c r="C159" s="161"/>
      <c r="D159" s="153"/>
      <c r="E159" s="153"/>
      <c r="F159" s="153"/>
      <c r="G159" s="153"/>
      <c r="H159" s="153"/>
      <c r="I159" s="153"/>
      <c r="J159" s="153"/>
      <c r="K159" s="153"/>
      <c r="L159" s="153"/>
      <c r="M159" s="153"/>
      <c r="N159" s="153"/>
      <c r="O159" s="153"/>
      <c r="P159" s="153"/>
      <c r="Q159" s="153"/>
      <c r="R159" s="153"/>
      <c r="S159" s="153"/>
      <c r="T159" s="153"/>
      <c r="U159" s="153"/>
      <c r="V159" s="153"/>
      <c r="W159" s="153"/>
      <c r="X159" s="154"/>
      <c r="Y159" s="154"/>
      <c r="Z159" s="154"/>
    </row>
    <row r="160" spans="1:26" ht="15.75" customHeight="1">
      <c r="A160" s="153"/>
      <c r="B160" s="161"/>
      <c r="C160" s="161"/>
      <c r="D160" s="153"/>
      <c r="E160" s="153"/>
      <c r="F160" s="153"/>
      <c r="G160" s="153"/>
      <c r="H160" s="153"/>
      <c r="I160" s="153"/>
      <c r="J160" s="153"/>
      <c r="K160" s="153"/>
      <c r="L160" s="153"/>
      <c r="M160" s="153"/>
      <c r="N160" s="153"/>
      <c r="O160" s="153"/>
      <c r="P160" s="153"/>
      <c r="Q160" s="153"/>
      <c r="R160" s="153"/>
      <c r="S160" s="153"/>
      <c r="T160" s="153"/>
      <c r="U160" s="153"/>
      <c r="V160" s="153"/>
      <c r="W160" s="153"/>
      <c r="X160" s="154"/>
      <c r="Y160" s="154"/>
      <c r="Z160" s="154"/>
    </row>
    <row r="161" spans="1:26" ht="15.75" customHeight="1">
      <c r="A161" s="153"/>
      <c r="B161" s="161"/>
      <c r="C161" s="161"/>
      <c r="D161" s="153"/>
      <c r="E161" s="153"/>
      <c r="F161" s="153"/>
      <c r="G161" s="153"/>
      <c r="H161" s="153"/>
      <c r="I161" s="153"/>
      <c r="J161" s="153"/>
      <c r="K161" s="153"/>
      <c r="L161" s="153"/>
      <c r="M161" s="153"/>
      <c r="N161" s="153"/>
      <c r="O161" s="153"/>
      <c r="P161" s="153"/>
      <c r="Q161" s="153"/>
      <c r="R161" s="153"/>
      <c r="S161" s="153"/>
      <c r="T161" s="153"/>
      <c r="U161" s="153"/>
      <c r="V161" s="153"/>
      <c r="W161" s="153"/>
      <c r="X161" s="154"/>
      <c r="Y161" s="154"/>
      <c r="Z161" s="154"/>
    </row>
    <row r="162" spans="1:26" ht="15.75" customHeight="1">
      <c r="A162" s="153"/>
      <c r="B162" s="161"/>
      <c r="C162" s="161"/>
      <c r="D162" s="153"/>
      <c r="E162" s="153"/>
      <c r="F162" s="153"/>
      <c r="G162" s="153"/>
      <c r="H162" s="153"/>
      <c r="I162" s="153"/>
      <c r="J162" s="153"/>
      <c r="K162" s="153"/>
      <c r="L162" s="153"/>
      <c r="M162" s="153"/>
      <c r="N162" s="153"/>
      <c r="O162" s="153"/>
      <c r="P162" s="153"/>
      <c r="Q162" s="153"/>
      <c r="R162" s="153"/>
      <c r="S162" s="153"/>
      <c r="T162" s="153"/>
      <c r="U162" s="153"/>
      <c r="V162" s="153"/>
      <c r="W162" s="153"/>
      <c r="X162" s="154"/>
      <c r="Y162" s="154"/>
      <c r="Z162" s="154"/>
    </row>
    <row r="163" spans="1:26" ht="15.75" customHeight="1">
      <c r="A163" s="153"/>
      <c r="B163" s="161"/>
      <c r="C163" s="161"/>
      <c r="D163" s="153"/>
      <c r="E163" s="153"/>
      <c r="F163" s="153"/>
      <c r="G163" s="153"/>
      <c r="H163" s="153"/>
      <c r="I163" s="153"/>
      <c r="J163" s="153"/>
      <c r="K163" s="153"/>
      <c r="L163" s="153"/>
      <c r="M163" s="153"/>
      <c r="N163" s="153"/>
      <c r="O163" s="153"/>
      <c r="P163" s="153"/>
      <c r="Q163" s="153"/>
      <c r="R163" s="153"/>
      <c r="S163" s="153"/>
      <c r="T163" s="153"/>
      <c r="U163" s="153"/>
      <c r="V163" s="153"/>
      <c r="W163" s="153"/>
      <c r="X163" s="154"/>
      <c r="Y163" s="154"/>
      <c r="Z163" s="154"/>
    </row>
    <row r="164" spans="1:26" ht="15.75" customHeight="1">
      <c r="A164" s="153"/>
      <c r="B164" s="161"/>
      <c r="C164" s="161"/>
      <c r="D164" s="153"/>
      <c r="E164" s="153"/>
      <c r="F164" s="153"/>
      <c r="G164" s="153"/>
      <c r="H164" s="153"/>
      <c r="I164" s="153"/>
      <c r="J164" s="153"/>
      <c r="K164" s="153"/>
      <c r="L164" s="153"/>
      <c r="M164" s="153"/>
      <c r="N164" s="153"/>
      <c r="O164" s="153"/>
      <c r="P164" s="153"/>
      <c r="Q164" s="153"/>
      <c r="R164" s="153"/>
      <c r="S164" s="153"/>
      <c r="T164" s="153"/>
      <c r="U164" s="153"/>
      <c r="V164" s="153"/>
      <c r="W164" s="153"/>
      <c r="X164" s="154"/>
      <c r="Y164" s="154"/>
      <c r="Z164" s="154"/>
    </row>
    <row r="165" spans="1:26" ht="15.75" customHeight="1">
      <c r="A165" s="153"/>
      <c r="B165" s="161"/>
      <c r="C165" s="161"/>
      <c r="D165" s="153"/>
      <c r="E165" s="153"/>
      <c r="F165" s="153"/>
      <c r="G165" s="153"/>
      <c r="H165" s="153"/>
      <c r="I165" s="153"/>
      <c r="J165" s="153"/>
      <c r="K165" s="153"/>
      <c r="L165" s="153"/>
      <c r="M165" s="153"/>
      <c r="N165" s="153"/>
      <c r="O165" s="153"/>
      <c r="P165" s="153"/>
      <c r="Q165" s="153"/>
      <c r="R165" s="153"/>
      <c r="S165" s="153"/>
      <c r="T165" s="153"/>
      <c r="U165" s="153"/>
      <c r="V165" s="153"/>
      <c r="W165" s="153"/>
      <c r="X165" s="154"/>
      <c r="Y165" s="154"/>
      <c r="Z165" s="154"/>
    </row>
    <row r="166" spans="1:26" ht="15.75" customHeight="1">
      <c r="A166" s="153"/>
      <c r="B166" s="161"/>
      <c r="C166" s="161"/>
      <c r="D166" s="153"/>
      <c r="E166" s="153"/>
      <c r="F166" s="153"/>
      <c r="G166" s="153"/>
      <c r="H166" s="153"/>
      <c r="I166" s="153"/>
      <c r="J166" s="153"/>
      <c r="K166" s="153"/>
      <c r="L166" s="153"/>
      <c r="M166" s="153"/>
      <c r="N166" s="153"/>
      <c r="O166" s="153"/>
      <c r="P166" s="153"/>
      <c r="Q166" s="153"/>
      <c r="R166" s="153"/>
      <c r="S166" s="153"/>
      <c r="T166" s="153"/>
      <c r="U166" s="153"/>
      <c r="V166" s="153"/>
      <c r="W166" s="153"/>
      <c r="X166" s="154"/>
      <c r="Y166" s="154"/>
      <c r="Z166" s="154"/>
    </row>
    <row r="167" spans="1:26" ht="15.75" customHeight="1">
      <c r="A167" s="153"/>
      <c r="B167" s="161"/>
      <c r="C167" s="161"/>
      <c r="D167" s="153"/>
      <c r="E167" s="153"/>
      <c r="F167" s="153"/>
      <c r="G167" s="153"/>
      <c r="H167" s="153"/>
      <c r="I167" s="153"/>
      <c r="J167" s="153"/>
      <c r="K167" s="153"/>
      <c r="L167" s="153"/>
      <c r="M167" s="153"/>
      <c r="N167" s="153"/>
      <c r="O167" s="153"/>
      <c r="P167" s="153"/>
      <c r="Q167" s="153"/>
      <c r="R167" s="153"/>
      <c r="S167" s="153"/>
      <c r="T167" s="153"/>
      <c r="U167" s="153"/>
      <c r="V167" s="153"/>
      <c r="W167" s="153"/>
      <c r="X167" s="154"/>
      <c r="Y167" s="154"/>
      <c r="Z167" s="154"/>
    </row>
    <row r="168" spans="1:26" ht="15.75" customHeight="1">
      <c r="A168" s="153"/>
      <c r="B168" s="161"/>
      <c r="C168" s="161"/>
      <c r="D168" s="153"/>
      <c r="E168" s="153"/>
      <c r="F168" s="153"/>
      <c r="G168" s="153"/>
      <c r="H168" s="153"/>
      <c r="I168" s="153"/>
      <c r="J168" s="153"/>
      <c r="K168" s="153"/>
      <c r="L168" s="153"/>
      <c r="M168" s="153"/>
      <c r="N168" s="153"/>
      <c r="O168" s="153"/>
      <c r="P168" s="153"/>
      <c r="Q168" s="153"/>
      <c r="R168" s="153"/>
      <c r="S168" s="153"/>
      <c r="T168" s="153"/>
      <c r="U168" s="153"/>
      <c r="V168" s="153"/>
      <c r="W168" s="153"/>
      <c r="X168" s="154"/>
      <c r="Y168" s="154"/>
      <c r="Z168" s="154"/>
    </row>
    <row r="169" spans="1:26" ht="15.75" customHeight="1">
      <c r="A169" s="153"/>
      <c r="B169" s="161"/>
      <c r="C169" s="161"/>
      <c r="D169" s="153"/>
      <c r="E169" s="153"/>
      <c r="F169" s="153"/>
      <c r="G169" s="153"/>
      <c r="H169" s="153"/>
      <c r="I169" s="153"/>
      <c r="J169" s="153"/>
      <c r="K169" s="153"/>
      <c r="L169" s="153"/>
      <c r="M169" s="153"/>
      <c r="N169" s="153"/>
      <c r="O169" s="153"/>
      <c r="P169" s="153"/>
      <c r="Q169" s="153"/>
      <c r="R169" s="153"/>
      <c r="S169" s="153"/>
      <c r="T169" s="153"/>
      <c r="U169" s="153"/>
      <c r="V169" s="153"/>
      <c r="W169" s="153"/>
      <c r="X169" s="154"/>
      <c r="Y169" s="154"/>
      <c r="Z169" s="154"/>
    </row>
    <row r="170" spans="1:26" ht="15.75" customHeight="1">
      <c r="A170" s="153"/>
      <c r="B170" s="161"/>
      <c r="C170" s="161"/>
      <c r="D170" s="153"/>
      <c r="E170" s="153"/>
      <c r="F170" s="153"/>
      <c r="G170" s="153"/>
      <c r="H170" s="153"/>
      <c r="I170" s="153"/>
      <c r="J170" s="153"/>
      <c r="K170" s="153"/>
      <c r="L170" s="153"/>
      <c r="M170" s="153"/>
      <c r="N170" s="153"/>
      <c r="O170" s="153"/>
      <c r="P170" s="153"/>
      <c r="Q170" s="153"/>
      <c r="R170" s="153"/>
      <c r="S170" s="153"/>
      <c r="T170" s="153"/>
      <c r="U170" s="153"/>
      <c r="V170" s="153"/>
      <c r="W170" s="153"/>
      <c r="X170" s="154"/>
      <c r="Y170" s="154"/>
      <c r="Z170" s="154"/>
    </row>
    <row r="171" spans="1:26" ht="15.75" customHeight="1">
      <c r="A171" s="153"/>
      <c r="B171" s="161"/>
      <c r="C171" s="161"/>
      <c r="D171" s="153"/>
      <c r="E171" s="153"/>
      <c r="F171" s="153"/>
      <c r="G171" s="153"/>
      <c r="H171" s="153"/>
      <c r="I171" s="153"/>
      <c r="J171" s="153"/>
      <c r="K171" s="153"/>
      <c r="L171" s="153"/>
      <c r="M171" s="153"/>
      <c r="N171" s="153"/>
      <c r="O171" s="153"/>
      <c r="P171" s="153"/>
      <c r="Q171" s="153"/>
      <c r="R171" s="153"/>
      <c r="S171" s="153"/>
      <c r="T171" s="153"/>
      <c r="U171" s="153"/>
      <c r="V171" s="153"/>
      <c r="W171" s="153"/>
      <c r="X171" s="154"/>
      <c r="Y171" s="154"/>
      <c r="Z171" s="154"/>
    </row>
    <row r="172" spans="1:26" ht="15.75" customHeight="1">
      <c r="A172" s="153"/>
      <c r="B172" s="161"/>
      <c r="C172" s="161"/>
      <c r="D172" s="153"/>
      <c r="E172" s="153"/>
      <c r="F172" s="153"/>
      <c r="G172" s="153"/>
      <c r="H172" s="153"/>
      <c r="I172" s="153"/>
      <c r="J172" s="153"/>
      <c r="K172" s="153"/>
      <c r="L172" s="153"/>
      <c r="M172" s="153"/>
      <c r="N172" s="153"/>
      <c r="O172" s="153"/>
      <c r="P172" s="153"/>
      <c r="Q172" s="153"/>
      <c r="R172" s="153"/>
      <c r="S172" s="153"/>
      <c r="T172" s="153"/>
      <c r="U172" s="153"/>
      <c r="V172" s="153"/>
      <c r="W172" s="153"/>
      <c r="X172" s="154"/>
      <c r="Y172" s="154"/>
      <c r="Z172" s="154"/>
    </row>
    <row r="173" spans="1:26" ht="15.75" customHeight="1">
      <c r="A173" s="153"/>
      <c r="B173" s="161"/>
      <c r="C173" s="161"/>
      <c r="D173" s="153"/>
      <c r="E173" s="153"/>
      <c r="F173" s="153"/>
      <c r="G173" s="153"/>
      <c r="H173" s="153"/>
      <c r="I173" s="153"/>
      <c r="J173" s="153"/>
      <c r="K173" s="153"/>
      <c r="L173" s="153"/>
      <c r="M173" s="153"/>
      <c r="N173" s="153"/>
      <c r="O173" s="153"/>
      <c r="P173" s="153"/>
      <c r="Q173" s="153"/>
      <c r="R173" s="153"/>
      <c r="S173" s="153"/>
      <c r="T173" s="153"/>
      <c r="U173" s="153"/>
      <c r="V173" s="153"/>
      <c r="W173" s="153"/>
      <c r="X173" s="154"/>
      <c r="Y173" s="154"/>
      <c r="Z173" s="154"/>
    </row>
    <row r="174" spans="1:26" ht="15.75" customHeight="1">
      <c r="A174" s="153"/>
      <c r="B174" s="161"/>
      <c r="C174" s="161"/>
      <c r="D174" s="153"/>
      <c r="E174" s="153"/>
      <c r="F174" s="153"/>
      <c r="G174" s="153"/>
      <c r="H174" s="153"/>
      <c r="I174" s="153"/>
      <c r="J174" s="153"/>
      <c r="K174" s="153"/>
      <c r="L174" s="153"/>
      <c r="M174" s="153"/>
      <c r="N174" s="153"/>
      <c r="O174" s="153"/>
      <c r="P174" s="153"/>
      <c r="Q174" s="153"/>
      <c r="R174" s="153"/>
      <c r="S174" s="153"/>
      <c r="T174" s="153"/>
      <c r="U174" s="153"/>
      <c r="V174" s="153"/>
      <c r="W174" s="153"/>
      <c r="X174" s="154"/>
      <c r="Y174" s="154"/>
      <c r="Z174" s="154"/>
    </row>
    <row r="175" spans="1:26" ht="15.75" customHeight="1">
      <c r="A175" s="153"/>
      <c r="B175" s="161"/>
      <c r="C175" s="161"/>
      <c r="D175" s="153"/>
      <c r="E175" s="153"/>
      <c r="F175" s="153"/>
      <c r="G175" s="153"/>
      <c r="H175" s="153"/>
      <c r="I175" s="153"/>
      <c r="J175" s="153"/>
      <c r="K175" s="153"/>
      <c r="L175" s="153"/>
      <c r="M175" s="153"/>
      <c r="N175" s="153"/>
      <c r="O175" s="153"/>
      <c r="P175" s="153"/>
      <c r="Q175" s="153"/>
      <c r="R175" s="153"/>
      <c r="S175" s="153"/>
      <c r="T175" s="153"/>
      <c r="U175" s="153"/>
      <c r="V175" s="153"/>
      <c r="W175" s="153"/>
      <c r="X175" s="154"/>
      <c r="Y175" s="154"/>
      <c r="Z175" s="154"/>
    </row>
    <row r="176" spans="1:26" ht="15.75" customHeight="1">
      <c r="A176" s="153"/>
      <c r="B176" s="161"/>
      <c r="C176" s="161"/>
      <c r="D176" s="153"/>
      <c r="E176" s="153"/>
      <c r="F176" s="153"/>
      <c r="G176" s="153"/>
      <c r="H176" s="153"/>
      <c r="I176" s="153"/>
      <c r="J176" s="153"/>
      <c r="K176" s="153"/>
      <c r="L176" s="153"/>
      <c r="M176" s="153"/>
      <c r="N176" s="153"/>
      <c r="O176" s="153"/>
      <c r="P176" s="153"/>
      <c r="Q176" s="153"/>
      <c r="R176" s="153"/>
      <c r="S176" s="153"/>
      <c r="T176" s="153"/>
      <c r="U176" s="153"/>
      <c r="V176" s="153"/>
      <c r="W176" s="153"/>
      <c r="X176" s="154"/>
      <c r="Y176" s="154"/>
      <c r="Z176" s="154"/>
    </row>
    <row r="177" spans="1:26" ht="15.75" customHeight="1">
      <c r="A177" s="153"/>
      <c r="B177" s="161"/>
      <c r="C177" s="161"/>
      <c r="D177" s="153"/>
      <c r="E177" s="153"/>
      <c r="F177" s="153"/>
      <c r="G177" s="153"/>
      <c r="H177" s="153"/>
      <c r="I177" s="153"/>
      <c r="J177" s="153"/>
      <c r="K177" s="153"/>
      <c r="L177" s="153"/>
      <c r="M177" s="153"/>
      <c r="N177" s="153"/>
      <c r="O177" s="153"/>
      <c r="P177" s="153"/>
      <c r="Q177" s="153"/>
      <c r="R177" s="153"/>
      <c r="S177" s="153"/>
      <c r="T177" s="153"/>
      <c r="U177" s="153"/>
      <c r="V177" s="153"/>
      <c r="W177" s="153"/>
      <c r="X177" s="154"/>
      <c r="Y177" s="154"/>
      <c r="Z177" s="154"/>
    </row>
    <row r="178" spans="1:26" ht="15.75" customHeight="1">
      <c r="A178" s="153"/>
      <c r="B178" s="161"/>
      <c r="C178" s="161"/>
      <c r="D178" s="153"/>
      <c r="E178" s="153"/>
      <c r="F178" s="153"/>
      <c r="G178" s="153"/>
      <c r="H178" s="153"/>
      <c r="I178" s="153"/>
      <c r="J178" s="153"/>
      <c r="K178" s="153"/>
      <c r="L178" s="153"/>
      <c r="M178" s="153"/>
      <c r="N178" s="153"/>
      <c r="O178" s="153"/>
      <c r="P178" s="153"/>
      <c r="Q178" s="153"/>
      <c r="R178" s="153"/>
      <c r="S178" s="153"/>
      <c r="T178" s="153"/>
      <c r="U178" s="153"/>
      <c r="V178" s="153"/>
      <c r="W178" s="153"/>
      <c r="X178" s="154"/>
      <c r="Y178" s="154"/>
      <c r="Z178" s="154"/>
    </row>
    <row r="179" spans="1:26" ht="15.75" customHeight="1">
      <c r="A179" s="153"/>
      <c r="B179" s="161"/>
      <c r="C179" s="161"/>
      <c r="D179" s="153"/>
      <c r="E179" s="153"/>
      <c r="F179" s="153"/>
      <c r="G179" s="153"/>
      <c r="H179" s="153"/>
      <c r="I179" s="153"/>
      <c r="J179" s="153"/>
      <c r="K179" s="153"/>
      <c r="L179" s="153"/>
      <c r="M179" s="153"/>
      <c r="N179" s="153"/>
      <c r="O179" s="153"/>
      <c r="P179" s="153"/>
      <c r="Q179" s="153"/>
      <c r="R179" s="153"/>
      <c r="S179" s="153"/>
      <c r="T179" s="153"/>
      <c r="U179" s="153"/>
      <c r="V179" s="153"/>
      <c r="W179" s="153"/>
      <c r="X179" s="154"/>
      <c r="Y179" s="154"/>
      <c r="Z179" s="154"/>
    </row>
    <row r="180" spans="1:26" ht="15.75" customHeight="1">
      <c r="A180" s="153"/>
      <c r="B180" s="161"/>
      <c r="C180" s="161"/>
      <c r="D180" s="153"/>
      <c r="E180" s="153"/>
      <c r="F180" s="153"/>
      <c r="G180" s="153"/>
      <c r="H180" s="153"/>
      <c r="I180" s="153"/>
      <c r="J180" s="153"/>
      <c r="K180" s="153"/>
      <c r="L180" s="153"/>
      <c r="M180" s="153"/>
      <c r="N180" s="153"/>
      <c r="O180" s="153"/>
      <c r="P180" s="153"/>
      <c r="Q180" s="153"/>
      <c r="R180" s="153"/>
      <c r="S180" s="153"/>
      <c r="T180" s="153"/>
      <c r="U180" s="153"/>
      <c r="V180" s="153"/>
      <c r="W180" s="153"/>
      <c r="X180" s="154"/>
      <c r="Y180" s="154"/>
      <c r="Z180" s="154"/>
    </row>
    <row r="181" spans="1:26" ht="15.75" customHeight="1">
      <c r="A181" s="153"/>
      <c r="B181" s="161"/>
      <c r="C181" s="161"/>
      <c r="D181" s="153"/>
      <c r="E181" s="153"/>
      <c r="F181" s="153"/>
      <c r="G181" s="153"/>
      <c r="H181" s="153"/>
      <c r="I181" s="153"/>
      <c r="J181" s="153"/>
      <c r="K181" s="153"/>
      <c r="L181" s="153"/>
      <c r="M181" s="153"/>
      <c r="N181" s="153"/>
      <c r="O181" s="153"/>
      <c r="P181" s="153"/>
      <c r="Q181" s="153"/>
      <c r="R181" s="153"/>
      <c r="S181" s="153"/>
      <c r="T181" s="153"/>
      <c r="U181" s="153"/>
      <c r="V181" s="153"/>
      <c r="W181" s="153"/>
      <c r="X181" s="154"/>
      <c r="Y181" s="154"/>
      <c r="Z181" s="154"/>
    </row>
    <row r="182" spans="1:26" ht="15.75" customHeight="1">
      <c r="A182" s="153"/>
      <c r="B182" s="161"/>
      <c r="C182" s="161"/>
      <c r="D182" s="153"/>
      <c r="E182" s="153"/>
      <c r="F182" s="153"/>
      <c r="G182" s="153"/>
      <c r="H182" s="153"/>
      <c r="I182" s="153"/>
      <c r="J182" s="153"/>
      <c r="K182" s="153"/>
      <c r="L182" s="153"/>
      <c r="M182" s="153"/>
      <c r="N182" s="153"/>
      <c r="O182" s="153"/>
      <c r="P182" s="153"/>
      <c r="Q182" s="153"/>
      <c r="R182" s="153"/>
      <c r="S182" s="153"/>
      <c r="T182" s="153"/>
      <c r="U182" s="153"/>
      <c r="V182" s="153"/>
      <c r="W182" s="153"/>
      <c r="X182" s="154"/>
      <c r="Y182" s="154"/>
      <c r="Z182" s="154"/>
    </row>
    <row r="183" spans="1:26" ht="15.75" customHeight="1">
      <c r="A183" s="153"/>
      <c r="B183" s="161"/>
      <c r="C183" s="161"/>
      <c r="D183" s="153"/>
      <c r="E183" s="153"/>
      <c r="F183" s="153"/>
      <c r="G183" s="153"/>
      <c r="H183" s="153"/>
      <c r="I183" s="153"/>
      <c r="J183" s="153"/>
      <c r="K183" s="153"/>
      <c r="L183" s="153"/>
      <c r="M183" s="153"/>
      <c r="N183" s="153"/>
      <c r="O183" s="153"/>
      <c r="P183" s="153"/>
      <c r="Q183" s="153"/>
      <c r="R183" s="153"/>
      <c r="S183" s="153"/>
      <c r="T183" s="153"/>
      <c r="U183" s="153"/>
      <c r="V183" s="153"/>
      <c r="W183" s="153"/>
      <c r="X183" s="154"/>
      <c r="Y183" s="154"/>
      <c r="Z183" s="154"/>
    </row>
    <row r="184" spans="1:26" ht="15.75" customHeight="1">
      <c r="A184" s="153"/>
      <c r="B184" s="161"/>
      <c r="C184" s="161"/>
      <c r="D184" s="153"/>
      <c r="E184" s="153"/>
      <c r="F184" s="153"/>
      <c r="G184" s="153"/>
      <c r="H184" s="153"/>
      <c r="I184" s="153"/>
      <c r="J184" s="153"/>
      <c r="K184" s="153"/>
      <c r="L184" s="153"/>
      <c r="M184" s="153"/>
      <c r="N184" s="153"/>
      <c r="O184" s="153"/>
      <c r="P184" s="153"/>
      <c r="Q184" s="153"/>
      <c r="R184" s="153"/>
      <c r="S184" s="153"/>
      <c r="T184" s="153"/>
      <c r="U184" s="153"/>
      <c r="V184" s="153"/>
      <c r="W184" s="153"/>
      <c r="X184" s="154"/>
      <c r="Y184" s="154"/>
      <c r="Z184" s="154"/>
    </row>
    <row r="185" spans="1:26" ht="15.75" customHeight="1">
      <c r="A185" s="153"/>
      <c r="B185" s="161"/>
      <c r="C185" s="161"/>
      <c r="D185" s="153"/>
      <c r="E185" s="153"/>
      <c r="F185" s="153"/>
      <c r="G185" s="153"/>
      <c r="H185" s="153"/>
      <c r="I185" s="153"/>
      <c r="J185" s="153"/>
      <c r="K185" s="153"/>
      <c r="L185" s="153"/>
      <c r="M185" s="153"/>
      <c r="N185" s="153"/>
      <c r="O185" s="153"/>
      <c r="P185" s="153"/>
      <c r="Q185" s="153"/>
      <c r="R185" s="153"/>
      <c r="S185" s="153"/>
      <c r="T185" s="153"/>
      <c r="U185" s="153"/>
      <c r="V185" s="153"/>
      <c r="W185" s="153"/>
      <c r="X185" s="154"/>
      <c r="Y185" s="154"/>
      <c r="Z185" s="154"/>
    </row>
    <row r="186" spans="1:26" ht="15.75" customHeight="1">
      <c r="A186" s="153"/>
      <c r="B186" s="161"/>
      <c r="C186" s="161"/>
      <c r="D186" s="153"/>
      <c r="E186" s="153"/>
      <c r="F186" s="153"/>
      <c r="G186" s="153"/>
      <c r="H186" s="153"/>
      <c r="I186" s="153"/>
      <c r="J186" s="153"/>
      <c r="K186" s="153"/>
      <c r="L186" s="153"/>
      <c r="M186" s="153"/>
      <c r="N186" s="153"/>
      <c r="O186" s="153"/>
      <c r="P186" s="153"/>
      <c r="Q186" s="153"/>
      <c r="R186" s="153"/>
      <c r="S186" s="153"/>
      <c r="T186" s="153"/>
      <c r="U186" s="153"/>
      <c r="V186" s="153"/>
      <c r="W186" s="153"/>
      <c r="X186" s="154"/>
      <c r="Y186" s="154"/>
      <c r="Z186" s="154"/>
    </row>
    <row r="187" spans="1:26" ht="15.75" customHeight="1">
      <c r="A187" s="153"/>
      <c r="B187" s="161"/>
      <c r="C187" s="161"/>
      <c r="D187" s="153"/>
      <c r="E187" s="153"/>
      <c r="F187" s="153"/>
      <c r="G187" s="153"/>
      <c r="H187" s="153"/>
      <c r="I187" s="153"/>
      <c r="J187" s="153"/>
      <c r="K187" s="153"/>
      <c r="L187" s="153"/>
      <c r="M187" s="153"/>
      <c r="N187" s="153"/>
      <c r="O187" s="153"/>
      <c r="P187" s="153"/>
      <c r="Q187" s="153"/>
      <c r="R187" s="153"/>
      <c r="S187" s="153"/>
      <c r="T187" s="153"/>
      <c r="U187" s="153"/>
      <c r="V187" s="153"/>
      <c r="W187" s="153"/>
      <c r="X187" s="154"/>
      <c r="Y187" s="154"/>
      <c r="Z187" s="154"/>
    </row>
    <row r="188" spans="1:26" ht="15.75" customHeight="1">
      <c r="A188" s="153"/>
      <c r="B188" s="161"/>
      <c r="C188" s="161"/>
      <c r="D188" s="153"/>
      <c r="E188" s="153"/>
      <c r="F188" s="153"/>
      <c r="G188" s="153"/>
      <c r="H188" s="153"/>
      <c r="I188" s="153"/>
      <c r="J188" s="153"/>
      <c r="K188" s="153"/>
      <c r="L188" s="153"/>
      <c r="M188" s="153"/>
      <c r="N188" s="153"/>
      <c r="O188" s="153"/>
      <c r="P188" s="153"/>
      <c r="Q188" s="153"/>
      <c r="R188" s="153"/>
      <c r="S188" s="153"/>
      <c r="T188" s="153"/>
      <c r="U188" s="153"/>
      <c r="V188" s="153"/>
      <c r="W188" s="153"/>
      <c r="X188" s="154"/>
      <c r="Y188" s="154"/>
      <c r="Z188" s="154"/>
    </row>
    <row r="189" spans="1:26" ht="15.75" customHeight="1">
      <c r="A189" s="153"/>
      <c r="B189" s="161"/>
      <c r="C189" s="161"/>
      <c r="D189" s="153"/>
      <c r="E189" s="153"/>
      <c r="F189" s="153"/>
      <c r="G189" s="153"/>
      <c r="H189" s="153"/>
      <c r="I189" s="153"/>
      <c r="J189" s="153"/>
      <c r="K189" s="153"/>
      <c r="L189" s="153"/>
      <c r="M189" s="153"/>
      <c r="N189" s="153"/>
      <c r="O189" s="153"/>
      <c r="P189" s="153"/>
      <c r="Q189" s="153"/>
      <c r="R189" s="153"/>
      <c r="S189" s="153"/>
      <c r="T189" s="153"/>
      <c r="U189" s="153"/>
      <c r="V189" s="153"/>
      <c r="W189" s="153"/>
      <c r="X189" s="154"/>
      <c r="Y189" s="154"/>
      <c r="Z189" s="154"/>
    </row>
    <row r="190" spans="1:26" ht="15.75" customHeight="1">
      <c r="A190" s="153"/>
      <c r="B190" s="161"/>
      <c r="C190" s="161"/>
      <c r="D190" s="153"/>
      <c r="E190" s="153"/>
      <c r="F190" s="153"/>
      <c r="G190" s="153"/>
      <c r="H190" s="153"/>
      <c r="I190" s="153"/>
      <c r="J190" s="153"/>
      <c r="K190" s="153"/>
      <c r="L190" s="153"/>
      <c r="M190" s="153"/>
      <c r="N190" s="153"/>
      <c r="O190" s="153"/>
      <c r="P190" s="153"/>
      <c r="Q190" s="153"/>
      <c r="R190" s="153"/>
      <c r="S190" s="153"/>
      <c r="T190" s="153"/>
      <c r="U190" s="153"/>
      <c r="V190" s="153"/>
      <c r="W190" s="153"/>
      <c r="X190" s="154"/>
      <c r="Y190" s="154"/>
      <c r="Z190" s="154"/>
    </row>
    <row r="191" spans="1:26" ht="15.75" customHeight="1">
      <c r="A191" s="153"/>
      <c r="B191" s="161"/>
      <c r="C191" s="161"/>
      <c r="D191" s="153"/>
      <c r="E191" s="153"/>
      <c r="F191" s="153"/>
      <c r="G191" s="153"/>
      <c r="H191" s="153"/>
      <c r="I191" s="153"/>
      <c r="J191" s="153"/>
      <c r="K191" s="153"/>
      <c r="L191" s="153"/>
      <c r="M191" s="153"/>
      <c r="N191" s="153"/>
      <c r="O191" s="153"/>
      <c r="P191" s="153"/>
      <c r="Q191" s="153"/>
      <c r="R191" s="153"/>
      <c r="S191" s="153"/>
      <c r="T191" s="153"/>
      <c r="U191" s="153"/>
      <c r="V191" s="153"/>
      <c r="W191" s="153"/>
      <c r="X191" s="154"/>
      <c r="Y191" s="154"/>
      <c r="Z191" s="154"/>
    </row>
    <row r="192" spans="1:26" ht="15.75" customHeight="1">
      <c r="A192" s="153"/>
      <c r="B192" s="161"/>
      <c r="C192" s="161"/>
      <c r="D192" s="153"/>
      <c r="E192" s="153"/>
      <c r="F192" s="153"/>
      <c r="G192" s="153"/>
      <c r="H192" s="153"/>
      <c r="I192" s="153"/>
      <c r="J192" s="153"/>
      <c r="K192" s="153"/>
      <c r="L192" s="153"/>
      <c r="M192" s="153"/>
      <c r="N192" s="153"/>
      <c r="O192" s="153"/>
      <c r="P192" s="153"/>
      <c r="Q192" s="153"/>
      <c r="R192" s="153"/>
      <c r="S192" s="153"/>
      <c r="T192" s="153"/>
      <c r="U192" s="153"/>
      <c r="V192" s="153"/>
      <c r="W192" s="153"/>
      <c r="X192" s="154"/>
      <c r="Y192" s="154"/>
      <c r="Z192" s="154"/>
    </row>
    <row r="193" spans="1:26" ht="15.75" customHeight="1">
      <c r="A193" s="153"/>
      <c r="B193" s="161"/>
      <c r="C193" s="161"/>
      <c r="D193" s="153"/>
      <c r="E193" s="153"/>
      <c r="F193" s="153"/>
      <c r="G193" s="153"/>
      <c r="H193" s="153"/>
      <c r="I193" s="153"/>
      <c r="J193" s="153"/>
      <c r="K193" s="153"/>
      <c r="L193" s="153"/>
      <c r="M193" s="153"/>
      <c r="N193" s="153"/>
      <c r="O193" s="153"/>
      <c r="P193" s="153"/>
      <c r="Q193" s="153"/>
      <c r="R193" s="153"/>
      <c r="S193" s="153"/>
      <c r="T193" s="153"/>
      <c r="U193" s="153"/>
      <c r="V193" s="153"/>
      <c r="W193" s="153"/>
      <c r="X193" s="154"/>
      <c r="Y193" s="154"/>
      <c r="Z193" s="154"/>
    </row>
    <row r="194" spans="1:26" ht="15.75" customHeight="1">
      <c r="A194" s="153"/>
      <c r="B194" s="161"/>
      <c r="C194" s="161"/>
      <c r="D194" s="153"/>
      <c r="E194" s="153"/>
      <c r="F194" s="153"/>
      <c r="G194" s="153"/>
      <c r="H194" s="153"/>
      <c r="I194" s="153"/>
      <c r="J194" s="153"/>
      <c r="K194" s="153"/>
      <c r="L194" s="153"/>
      <c r="M194" s="153"/>
      <c r="N194" s="153"/>
      <c r="O194" s="153"/>
      <c r="P194" s="153"/>
      <c r="Q194" s="153"/>
      <c r="R194" s="153"/>
      <c r="S194" s="153"/>
      <c r="T194" s="153"/>
      <c r="U194" s="153"/>
      <c r="V194" s="153"/>
      <c r="W194" s="153"/>
      <c r="X194" s="154"/>
      <c r="Y194" s="154"/>
      <c r="Z194" s="154"/>
    </row>
    <row r="195" spans="1:26" ht="15.75" customHeight="1">
      <c r="A195" s="153"/>
      <c r="B195" s="161"/>
      <c r="C195" s="161"/>
      <c r="D195" s="153"/>
      <c r="E195" s="153"/>
      <c r="F195" s="153"/>
      <c r="G195" s="153"/>
      <c r="H195" s="153"/>
      <c r="I195" s="153"/>
      <c r="J195" s="153"/>
      <c r="K195" s="153"/>
      <c r="L195" s="153"/>
      <c r="M195" s="153"/>
      <c r="N195" s="153"/>
      <c r="O195" s="153"/>
      <c r="P195" s="153"/>
      <c r="Q195" s="153"/>
      <c r="R195" s="153"/>
      <c r="S195" s="153"/>
      <c r="T195" s="153"/>
      <c r="U195" s="153"/>
      <c r="V195" s="153"/>
      <c r="W195" s="153"/>
      <c r="X195" s="154"/>
      <c r="Y195" s="154"/>
      <c r="Z195" s="154"/>
    </row>
    <row r="196" spans="1:26" ht="15.75" customHeight="1">
      <c r="A196" s="153"/>
      <c r="B196" s="161"/>
      <c r="C196" s="161"/>
      <c r="D196" s="153"/>
      <c r="E196" s="153"/>
      <c r="F196" s="153"/>
      <c r="G196" s="153"/>
      <c r="H196" s="153"/>
      <c r="I196" s="153"/>
      <c r="J196" s="153"/>
      <c r="K196" s="153"/>
      <c r="L196" s="153"/>
      <c r="M196" s="153"/>
      <c r="N196" s="153"/>
      <c r="O196" s="153"/>
      <c r="P196" s="153"/>
      <c r="Q196" s="153"/>
      <c r="R196" s="153"/>
      <c r="S196" s="153"/>
      <c r="T196" s="153"/>
      <c r="U196" s="153"/>
      <c r="V196" s="153"/>
      <c r="W196" s="153"/>
      <c r="X196" s="154"/>
      <c r="Y196" s="154"/>
      <c r="Z196" s="154"/>
    </row>
    <row r="197" spans="1:26" ht="15.75" customHeight="1">
      <c r="A197" s="153"/>
      <c r="B197" s="161"/>
      <c r="C197" s="161"/>
      <c r="D197" s="153"/>
      <c r="E197" s="153"/>
      <c r="F197" s="153"/>
      <c r="G197" s="153"/>
      <c r="H197" s="153"/>
      <c r="I197" s="153"/>
      <c r="J197" s="153"/>
      <c r="K197" s="153"/>
      <c r="L197" s="153"/>
      <c r="M197" s="153"/>
      <c r="N197" s="153"/>
      <c r="O197" s="153"/>
      <c r="P197" s="153"/>
      <c r="Q197" s="153"/>
      <c r="R197" s="153"/>
      <c r="S197" s="153"/>
      <c r="T197" s="153"/>
      <c r="U197" s="153"/>
      <c r="V197" s="153"/>
      <c r="W197" s="153"/>
      <c r="X197" s="154"/>
      <c r="Y197" s="154"/>
      <c r="Z197" s="154"/>
    </row>
    <row r="198" spans="1:26" ht="15.75" customHeight="1">
      <c r="A198" s="153"/>
      <c r="B198" s="161"/>
      <c r="C198" s="161"/>
      <c r="D198" s="153"/>
      <c r="E198" s="153"/>
      <c r="F198" s="153"/>
      <c r="G198" s="153"/>
      <c r="H198" s="153"/>
      <c r="I198" s="153"/>
      <c r="J198" s="153"/>
      <c r="K198" s="153"/>
      <c r="L198" s="153"/>
      <c r="M198" s="153"/>
      <c r="N198" s="153"/>
      <c r="O198" s="153"/>
      <c r="P198" s="153"/>
      <c r="Q198" s="153"/>
      <c r="R198" s="153"/>
      <c r="S198" s="153"/>
      <c r="T198" s="153"/>
      <c r="U198" s="153"/>
      <c r="V198" s="153"/>
      <c r="W198" s="153"/>
      <c r="X198" s="154"/>
      <c r="Y198" s="154"/>
      <c r="Z198" s="154"/>
    </row>
    <row r="199" spans="1:26" ht="15.75" customHeight="1">
      <c r="A199" s="153"/>
      <c r="B199" s="161"/>
      <c r="C199" s="161"/>
      <c r="D199" s="153"/>
      <c r="E199" s="153"/>
      <c r="F199" s="153"/>
      <c r="G199" s="153"/>
      <c r="H199" s="153"/>
      <c r="I199" s="153"/>
      <c r="J199" s="153"/>
      <c r="K199" s="153"/>
      <c r="L199" s="153"/>
      <c r="M199" s="153"/>
      <c r="N199" s="153"/>
      <c r="O199" s="153"/>
      <c r="P199" s="153"/>
      <c r="Q199" s="153"/>
      <c r="R199" s="153"/>
      <c r="S199" s="153"/>
      <c r="T199" s="153"/>
      <c r="U199" s="153"/>
      <c r="V199" s="153"/>
      <c r="W199" s="153"/>
      <c r="X199" s="154"/>
      <c r="Y199" s="154"/>
      <c r="Z199" s="154"/>
    </row>
    <row r="200" spans="1:26" ht="15.75" customHeight="1">
      <c r="A200" s="153"/>
      <c r="B200" s="161"/>
      <c r="C200" s="161"/>
      <c r="D200" s="153"/>
      <c r="E200" s="153"/>
      <c r="F200" s="153"/>
      <c r="G200" s="153"/>
      <c r="H200" s="153"/>
      <c r="I200" s="153"/>
      <c r="J200" s="153"/>
      <c r="K200" s="153"/>
      <c r="L200" s="153"/>
      <c r="M200" s="153"/>
      <c r="N200" s="153"/>
      <c r="O200" s="153"/>
      <c r="P200" s="153"/>
      <c r="Q200" s="153"/>
      <c r="R200" s="153"/>
      <c r="S200" s="153"/>
      <c r="T200" s="153"/>
      <c r="U200" s="153"/>
      <c r="V200" s="153"/>
      <c r="W200" s="153"/>
      <c r="X200" s="154"/>
      <c r="Y200" s="154"/>
      <c r="Z200" s="154"/>
    </row>
    <row r="201" spans="1:26" ht="15.75" customHeight="1">
      <c r="A201" s="153"/>
      <c r="B201" s="161"/>
      <c r="C201" s="161"/>
      <c r="D201" s="153"/>
      <c r="E201" s="153"/>
      <c r="F201" s="153"/>
      <c r="G201" s="153"/>
      <c r="H201" s="153"/>
      <c r="I201" s="153"/>
      <c r="J201" s="153"/>
      <c r="K201" s="153"/>
      <c r="L201" s="153"/>
      <c r="M201" s="153"/>
      <c r="N201" s="153"/>
      <c r="O201" s="153"/>
      <c r="P201" s="153"/>
      <c r="Q201" s="153"/>
      <c r="R201" s="153"/>
      <c r="S201" s="153"/>
      <c r="T201" s="153"/>
      <c r="U201" s="153"/>
      <c r="V201" s="153"/>
      <c r="W201" s="153"/>
      <c r="X201" s="154"/>
      <c r="Y201" s="154"/>
      <c r="Z201" s="154"/>
    </row>
    <row r="202" spans="1:26" ht="15.75" customHeight="1">
      <c r="A202" s="153"/>
      <c r="B202" s="161"/>
      <c r="C202" s="161"/>
      <c r="D202" s="153"/>
      <c r="E202" s="153"/>
      <c r="F202" s="153"/>
      <c r="G202" s="153"/>
      <c r="H202" s="153"/>
      <c r="I202" s="153"/>
      <c r="J202" s="153"/>
      <c r="K202" s="153"/>
      <c r="L202" s="153"/>
      <c r="M202" s="153"/>
      <c r="N202" s="153"/>
      <c r="O202" s="153"/>
      <c r="P202" s="153"/>
      <c r="Q202" s="153"/>
      <c r="R202" s="153"/>
      <c r="S202" s="153"/>
      <c r="T202" s="153"/>
      <c r="U202" s="153"/>
      <c r="V202" s="153"/>
      <c r="W202" s="153"/>
      <c r="X202" s="154"/>
      <c r="Y202" s="154"/>
      <c r="Z202" s="154"/>
    </row>
    <row r="203" spans="1:26" ht="15.75" customHeight="1">
      <c r="A203" s="153"/>
      <c r="B203" s="161"/>
      <c r="C203" s="161"/>
      <c r="D203" s="153"/>
      <c r="E203" s="153"/>
      <c r="F203" s="153"/>
      <c r="G203" s="153"/>
      <c r="H203" s="153"/>
      <c r="I203" s="153"/>
      <c r="J203" s="153"/>
      <c r="K203" s="153"/>
      <c r="L203" s="153"/>
      <c r="M203" s="153"/>
      <c r="N203" s="153"/>
      <c r="O203" s="153"/>
      <c r="P203" s="153"/>
      <c r="Q203" s="153"/>
      <c r="R203" s="153"/>
      <c r="S203" s="153"/>
      <c r="T203" s="153"/>
      <c r="U203" s="153"/>
      <c r="V203" s="153"/>
      <c r="W203" s="153"/>
      <c r="X203" s="154"/>
      <c r="Y203" s="154"/>
      <c r="Z203" s="154"/>
    </row>
    <row r="204" spans="1:26" ht="15.75" customHeight="1">
      <c r="A204" s="153"/>
      <c r="B204" s="161"/>
      <c r="C204" s="161"/>
      <c r="D204" s="153"/>
      <c r="E204" s="153"/>
      <c r="F204" s="153"/>
      <c r="G204" s="153"/>
      <c r="H204" s="153"/>
      <c r="I204" s="153"/>
      <c r="J204" s="153"/>
      <c r="K204" s="153"/>
      <c r="L204" s="153"/>
      <c r="M204" s="153"/>
      <c r="N204" s="153"/>
      <c r="O204" s="153"/>
      <c r="P204" s="153"/>
      <c r="Q204" s="153"/>
      <c r="R204" s="153"/>
      <c r="S204" s="153"/>
      <c r="T204" s="153"/>
      <c r="U204" s="153"/>
      <c r="V204" s="153"/>
      <c r="W204" s="153"/>
      <c r="X204" s="154"/>
      <c r="Y204" s="154"/>
      <c r="Z204" s="154"/>
    </row>
    <row r="205" spans="1:26" ht="15.75" customHeight="1">
      <c r="A205" s="153"/>
      <c r="B205" s="161"/>
      <c r="C205" s="161"/>
      <c r="D205" s="153"/>
      <c r="E205" s="153"/>
      <c r="F205" s="153"/>
      <c r="G205" s="153"/>
      <c r="H205" s="153"/>
      <c r="I205" s="153"/>
      <c r="J205" s="153"/>
      <c r="K205" s="153"/>
      <c r="L205" s="153"/>
      <c r="M205" s="153"/>
      <c r="N205" s="153"/>
      <c r="O205" s="153"/>
      <c r="P205" s="153"/>
      <c r="Q205" s="153"/>
      <c r="R205" s="153"/>
      <c r="S205" s="153"/>
      <c r="T205" s="153"/>
      <c r="U205" s="153"/>
      <c r="V205" s="153"/>
      <c r="W205" s="153"/>
      <c r="X205" s="154"/>
      <c r="Y205" s="154"/>
      <c r="Z205" s="154"/>
    </row>
    <row r="206" spans="1:26" ht="15.75" customHeight="1">
      <c r="A206" s="153"/>
      <c r="B206" s="161"/>
      <c r="C206" s="161"/>
      <c r="D206" s="153"/>
      <c r="E206" s="153"/>
      <c r="F206" s="153"/>
      <c r="G206" s="153"/>
      <c r="H206" s="153"/>
      <c r="I206" s="153"/>
      <c r="J206" s="153"/>
      <c r="K206" s="153"/>
      <c r="L206" s="153"/>
      <c r="M206" s="153"/>
      <c r="N206" s="153"/>
      <c r="O206" s="153"/>
      <c r="P206" s="153"/>
      <c r="Q206" s="153"/>
      <c r="R206" s="153"/>
      <c r="S206" s="153"/>
      <c r="T206" s="153"/>
      <c r="U206" s="153"/>
      <c r="V206" s="153"/>
      <c r="W206" s="153"/>
      <c r="X206" s="154"/>
      <c r="Y206" s="154"/>
      <c r="Z206" s="154"/>
    </row>
    <row r="207" spans="1:26" ht="15.75" customHeight="1">
      <c r="A207" s="153"/>
      <c r="B207" s="161"/>
      <c r="C207" s="161"/>
      <c r="D207" s="153"/>
      <c r="E207" s="153"/>
      <c r="F207" s="153"/>
      <c r="G207" s="153"/>
      <c r="H207" s="153"/>
      <c r="I207" s="153"/>
      <c r="J207" s="153"/>
      <c r="K207" s="153"/>
      <c r="L207" s="153"/>
      <c r="M207" s="153"/>
      <c r="N207" s="153"/>
      <c r="O207" s="153"/>
      <c r="P207" s="153"/>
      <c r="Q207" s="153"/>
      <c r="R207" s="153"/>
      <c r="S207" s="153"/>
      <c r="T207" s="153"/>
      <c r="U207" s="153"/>
      <c r="V207" s="153"/>
      <c r="W207" s="153"/>
      <c r="X207" s="154"/>
      <c r="Y207" s="154"/>
      <c r="Z207" s="154"/>
    </row>
    <row r="208" spans="1:26" ht="15.75" customHeight="1">
      <c r="A208" s="153"/>
      <c r="B208" s="161"/>
      <c r="C208" s="161"/>
      <c r="D208" s="153"/>
      <c r="E208" s="153"/>
      <c r="F208" s="153"/>
      <c r="G208" s="153"/>
      <c r="H208" s="153"/>
      <c r="I208" s="153"/>
      <c r="J208" s="153"/>
      <c r="K208" s="153"/>
      <c r="L208" s="153"/>
      <c r="M208" s="153"/>
      <c r="N208" s="153"/>
      <c r="O208" s="153"/>
      <c r="P208" s="153"/>
      <c r="Q208" s="153"/>
      <c r="R208" s="153"/>
      <c r="S208" s="153"/>
      <c r="T208" s="153"/>
      <c r="U208" s="153"/>
      <c r="V208" s="153"/>
      <c r="W208" s="153"/>
      <c r="X208" s="154"/>
      <c r="Y208" s="154"/>
      <c r="Z208" s="154"/>
    </row>
    <row r="209" spans="1:26" ht="15.75" customHeight="1">
      <c r="A209" s="153"/>
      <c r="B209" s="161"/>
      <c r="C209" s="161"/>
      <c r="D209" s="153"/>
      <c r="E209" s="153"/>
      <c r="F209" s="153"/>
      <c r="G209" s="153"/>
      <c r="H209" s="153"/>
      <c r="I209" s="153"/>
      <c r="J209" s="153"/>
      <c r="K209" s="153"/>
      <c r="L209" s="153"/>
      <c r="M209" s="153"/>
      <c r="N209" s="153"/>
      <c r="O209" s="153"/>
      <c r="P209" s="153"/>
      <c r="Q209" s="153"/>
      <c r="R209" s="153"/>
      <c r="S209" s="153"/>
      <c r="T209" s="153"/>
      <c r="U209" s="153"/>
      <c r="V209" s="153"/>
      <c r="W209" s="153"/>
      <c r="X209" s="154"/>
      <c r="Y209" s="154"/>
      <c r="Z209" s="154"/>
    </row>
    <row r="210" spans="1:26" ht="15.75" customHeight="1">
      <c r="A210" s="153"/>
      <c r="B210" s="161"/>
      <c r="C210" s="161"/>
      <c r="D210" s="153"/>
      <c r="E210" s="153"/>
      <c r="F210" s="153"/>
      <c r="G210" s="153"/>
      <c r="H210" s="153"/>
      <c r="I210" s="153"/>
      <c r="J210" s="153"/>
      <c r="K210" s="153"/>
      <c r="L210" s="153"/>
      <c r="M210" s="153"/>
      <c r="N210" s="153"/>
      <c r="O210" s="153"/>
      <c r="P210" s="153"/>
      <c r="Q210" s="153"/>
      <c r="R210" s="153"/>
      <c r="S210" s="153"/>
      <c r="T210" s="153"/>
      <c r="U210" s="153"/>
      <c r="V210" s="153"/>
      <c r="W210" s="153"/>
      <c r="X210" s="154"/>
      <c r="Y210" s="154"/>
      <c r="Z210" s="154"/>
    </row>
    <row r="211" spans="1:26" ht="15.75" customHeight="1">
      <c r="A211" s="153"/>
      <c r="B211" s="161"/>
      <c r="C211" s="161"/>
      <c r="D211" s="153"/>
      <c r="E211" s="153"/>
      <c r="F211" s="153"/>
      <c r="G211" s="153"/>
      <c r="H211" s="153"/>
      <c r="I211" s="153"/>
      <c r="J211" s="153"/>
      <c r="K211" s="153"/>
      <c r="L211" s="153"/>
      <c r="M211" s="153"/>
      <c r="N211" s="153"/>
      <c r="O211" s="153"/>
      <c r="P211" s="153"/>
      <c r="Q211" s="153"/>
      <c r="R211" s="153"/>
      <c r="S211" s="153"/>
      <c r="T211" s="153"/>
      <c r="U211" s="153"/>
      <c r="V211" s="153"/>
      <c r="W211" s="153"/>
      <c r="X211" s="154"/>
      <c r="Y211" s="154"/>
      <c r="Z211" s="154"/>
    </row>
    <row r="212" spans="1:26" ht="15.75" customHeight="1">
      <c r="A212" s="153"/>
      <c r="B212" s="161"/>
      <c r="C212" s="161"/>
      <c r="D212" s="153"/>
      <c r="E212" s="153"/>
      <c r="F212" s="153"/>
      <c r="G212" s="153"/>
      <c r="H212" s="153"/>
      <c r="I212" s="153"/>
      <c r="J212" s="153"/>
      <c r="K212" s="153"/>
      <c r="L212" s="153"/>
      <c r="M212" s="153"/>
      <c r="N212" s="153"/>
      <c r="O212" s="153"/>
      <c r="P212" s="153"/>
      <c r="Q212" s="153"/>
      <c r="R212" s="153"/>
      <c r="S212" s="153"/>
      <c r="T212" s="153"/>
      <c r="U212" s="153"/>
      <c r="V212" s="153"/>
      <c r="W212" s="153"/>
      <c r="X212" s="154"/>
      <c r="Y212" s="154"/>
      <c r="Z212" s="154"/>
    </row>
    <row r="213" spans="1:26" ht="15.75" customHeight="1">
      <c r="A213" s="153"/>
      <c r="B213" s="161"/>
      <c r="C213" s="161"/>
      <c r="D213" s="153"/>
      <c r="E213" s="153"/>
      <c r="F213" s="153"/>
      <c r="G213" s="153"/>
      <c r="H213" s="153"/>
      <c r="I213" s="153"/>
      <c r="J213" s="153"/>
      <c r="K213" s="153"/>
      <c r="L213" s="153"/>
      <c r="M213" s="153"/>
      <c r="N213" s="153"/>
      <c r="O213" s="153"/>
      <c r="P213" s="153"/>
      <c r="Q213" s="153"/>
      <c r="R213" s="153"/>
      <c r="S213" s="153"/>
      <c r="T213" s="153"/>
      <c r="U213" s="153"/>
      <c r="V213" s="153"/>
      <c r="W213" s="153"/>
      <c r="X213" s="154"/>
      <c r="Y213" s="154"/>
      <c r="Z213" s="154"/>
    </row>
    <row r="214" spans="1:26" ht="15.75" customHeight="1">
      <c r="A214" s="153"/>
      <c r="B214" s="161"/>
      <c r="C214" s="161"/>
      <c r="D214" s="153"/>
      <c r="E214" s="153"/>
      <c r="F214" s="153"/>
      <c r="G214" s="153"/>
      <c r="H214" s="153"/>
      <c r="I214" s="153"/>
      <c r="J214" s="153"/>
      <c r="K214" s="153"/>
      <c r="L214" s="153"/>
      <c r="M214" s="153"/>
      <c r="N214" s="153"/>
      <c r="O214" s="153"/>
      <c r="P214" s="153"/>
      <c r="Q214" s="153"/>
      <c r="R214" s="153"/>
      <c r="S214" s="153"/>
      <c r="T214" s="153"/>
      <c r="U214" s="153"/>
      <c r="V214" s="153"/>
      <c r="W214" s="153"/>
      <c r="X214" s="154"/>
      <c r="Y214" s="154"/>
      <c r="Z214" s="154"/>
    </row>
    <row r="215" spans="1:26" ht="15.75" customHeight="1">
      <c r="A215" s="153"/>
      <c r="B215" s="161"/>
      <c r="C215" s="161"/>
      <c r="D215" s="153"/>
      <c r="E215" s="153"/>
      <c r="F215" s="153"/>
      <c r="G215" s="153"/>
      <c r="H215" s="153"/>
      <c r="I215" s="153"/>
      <c r="J215" s="153"/>
      <c r="K215" s="153"/>
      <c r="L215" s="153"/>
      <c r="M215" s="153"/>
      <c r="N215" s="153"/>
      <c r="O215" s="153"/>
      <c r="P215" s="153"/>
      <c r="Q215" s="153"/>
      <c r="R215" s="153"/>
      <c r="S215" s="153"/>
      <c r="T215" s="153"/>
      <c r="U215" s="153"/>
      <c r="V215" s="153"/>
      <c r="W215" s="153"/>
      <c r="X215" s="154"/>
      <c r="Y215" s="154"/>
      <c r="Z215" s="154"/>
    </row>
    <row r="216" spans="1:26" ht="15.75" customHeight="1">
      <c r="A216" s="153"/>
      <c r="B216" s="161"/>
      <c r="C216" s="161"/>
      <c r="D216" s="153"/>
      <c r="E216" s="153"/>
      <c r="F216" s="153"/>
      <c r="G216" s="153"/>
      <c r="H216" s="153"/>
      <c r="I216" s="153"/>
      <c r="J216" s="153"/>
      <c r="K216" s="153"/>
      <c r="L216" s="153"/>
      <c r="M216" s="153"/>
      <c r="N216" s="153"/>
      <c r="O216" s="153"/>
      <c r="P216" s="153"/>
      <c r="Q216" s="153"/>
      <c r="R216" s="153"/>
      <c r="S216" s="153"/>
      <c r="T216" s="153"/>
      <c r="U216" s="153"/>
      <c r="V216" s="153"/>
      <c r="W216" s="153"/>
      <c r="X216" s="154"/>
      <c r="Y216" s="154"/>
      <c r="Z216" s="154"/>
    </row>
    <row r="217" spans="1:26" ht="15.75" customHeight="1">
      <c r="A217" s="153"/>
      <c r="B217" s="161"/>
      <c r="C217" s="161"/>
      <c r="D217" s="153"/>
      <c r="E217" s="153"/>
      <c r="F217" s="153"/>
      <c r="G217" s="153"/>
      <c r="H217" s="153"/>
      <c r="I217" s="153"/>
      <c r="J217" s="153"/>
      <c r="K217" s="153"/>
      <c r="L217" s="153"/>
      <c r="M217" s="153"/>
      <c r="N217" s="153"/>
      <c r="O217" s="153"/>
      <c r="P217" s="153"/>
      <c r="Q217" s="153"/>
      <c r="R217" s="153"/>
      <c r="S217" s="153"/>
      <c r="T217" s="153"/>
      <c r="U217" s="153"/>
      <c r="V217" s="153"/>
      <c r="W217" s="153"/>
      <c r="X217" s="154"/>
      <c r="Y217" s="154"/>
      <c r="Z217" s="154"/>
    </row>
    <row r="218" spans="1:26" ht="15.75" customHeight="1">
      <c r="A218" s="153"/>
      <c r="B218" s="161"/>
      <c r="C218" s="161"/>
      <c r="D218" s="153"/>
      <c r="E218" s="153"/>
      <c r="F218" s="153"/>
      <c r="G218" s="153"/>
      <c r="H218" s="153"/>
      <c r="I218" s="153"/>
      <c r="J218" s="153"/>
      <c r="K218" s="153"/>
      <c r="L218" s="153"/>
      <c r="M218" s="153"/>
      <c r="N218" s="153"/>
      <c r="O218" s="153"/>
      <c r="P218" s="153"/>
      <c r="Q218" s="153"/>
      <c r="R218" s="153"/>
      <c r="S218" s="153"/>
      <c r="T218" s="153"/>
      <c r="U218" s="153"/>
      <c r="V218" s="153"/>
      <c r="W218" s="153"/>
      <c r="X218" s="154"/>
      <c r="Y218" s="154"/>
      <c r="Z218" s="154"/>
    </row>
    <row r="219" spans="1:26" ht="15.75" customHeight="1">
      <c r="A219" s="153"/>
      <c r="B219" s="161"/>
      <c r="C219" s="161"/>
      <c r="D219" s="153"/>
      <c r="E219" s="153"/>
      <c r="F219" s="153"/>
      <c r="G219" s="153"/>
      <c r="H219" s="153"/>
      <c r="I219" s="153"/>
      <c r="J219" s="153"/>
      <c r="K219" s="153"/>
      <c r="L219" s="153"/>
      <c r="M219" s="153"/>
      <c r="N219" s="153"/>
      <c r="O219" s="153"/>
      <c r="P219" s="153"/>
      <c r="Q219" s="153"/>
      <c r="R219" s="153"/>
      <c r="S219" s="153"/>
      <c r="T219" s="153"/>
      <c r="U219" s="153"/>
      <c r="V219" s="153"/>
      <c r="W219" s="153"/>
      <c r="X219" s="154"/>
      <c r="Y219" s="154"/>
      <c r="Z219" s="154"/>
    </row>
    <row r="220" spans="1:26" ht="15.75" customHeight="1">
      <c r="A220" s="153"/>
      <c r="B220" s="161"/>
      <c r="C220" s="161"/>
      <c r="D220" s="153"/>
      <c r="E220" s="153"/>
      <c r="F220" s="153"/>
      <c r="G220" s="153"/>
      <c r="H220" s="153"/>
      <c r="I220" s="153"/>
      <c r="J220" s="153"/>
      <c r="K220" s="153"/>
      <c r="L220" s="153"/>
      <c r="M220" s="153"/>
      <c r="N220" s="153"/>
      <c r="O220" s="153"/>
      <c r="P220" s="153"/>
      <c r="Q220" s="153"/>
      <c r="R220" s="153"/>
      <c r="S220" s="153"/>
      <c r="T220" s="153"/>
      <c r="U220" s="153"/>
      <c r="V220" s="153"/>
      <c r="W220" s="153"/>
      <c r="X220" s="154"/>
      <c r="Y220" s="154"/>
      <c r="Z220" s="154"/>
    </row>
    <row r="221" spans="1:26" ht="15.75" customHeight="1">
      <c r="A221" s="153"/>
      <c r="B221" s="161"/>
      <c r="C221" s="161"/>
      <c r="D221" s="153"/>
      <c r="E221" s="153"/>
      <c r="F221" s="153"/>
      <c r="G221" s="153"/>
      <c r="H221" s="153"/>
      <c r="I221" s="153"/>
      <c r="J221" s="153"/>
      <c r="K221" s="153"/>
      <c r="L221" s="153"/>
      <c r="M221" s="153"/>
      <c r="N221" s="153"/>
      <c r="O221" s="153"/>
      <c r="P221" s="153"/>
      <c r="Q221" s="153"/>
      <c r="R221" s="153"/>
      <c r="S221" s="153"/>
      <c r="T221" s="153"/>
      <c r="U221" s="153"/>
      <c r="V221" s="153"/>
      <c r="W221" s="153"/>
      <c r="X221" s="154"/>
      <c r="Y221" s="154"/>
      <c r="Z221" s="154"/>
    </row>
    <row r="222" spans="1:26" ht="15.75" customHeight="1">
      <c r="A222" s="153"/>
      <c r="B222" s="161"/>
      <c r="C222" s="161"/>
      <c r="D222" s="153"/>
      <c r="E222" s="153"/>
      <c r="F222" s="153"/>
      <c r="G222" s="153"/>
      <c r="H222" s="153"/>
      <c r="I222" s="153"/>
      <c r="J222" s="153"/>
      <c r="K222" s="153"/>
      <c r="L222" s="153"/>
      <c r="M222" s="153"/>
      <c r="N222" s="153"/>
      <c r="O222" s="153"/>
      <c r="P222" s="153"/>
      <c r="Q222" s="153"/>
      <c r="R222" s="153"/>
      <c r="S222" s="153"/>
      <c r="T222" s="153"/>
      <c r="U222" s="153"/>
      <c r="V222" s="153"/>
      <c r="W222" s="153"/>
      <c r="X222" s="154"/>
      <c r="Y222" s="154"/>
      <c r="Z222" s="154"/>
    </row>
    <row r="223" spans="1:26" ht="15.75" customHeight="1">
      <c r="A223" s="153"/>
      <c r="B223" s="161"/>
      <c r="C223" s="161"/>
      <c r="D223" s="153"/>
      <c r="E223" s="153"/>
      <c r="F223" s="153"/>
      <c r="G223" s="153"/>
      <c r="H223" s="153"/>
      <c r="I223" s="153"/>
      <c r="J223" s="153"/>
      <c r="K223" s="153"/>
      <c r="L223" s="153"/>
      <c r="M223" s="153"/>
      <c r="N223" s="153"/>
      <c r="O223" s="153"/>
      <c r="P223" s="153"/>
      <c r="Q223" s="153"/>
      <c r="R223" s="153"/>
      <c r="S223" s="153"/>
      <c r="T223" s="153"/>
      <c r="U223" s="153"/>
      <c r="V223" s="153"/>
      <c r="W223" s="153"/>
      <c r="X223" s="154"/>
      <c r="Y223" s="154"/>
      <c r="Z223" s="154"/>
    </row>
    <row r="224" spans="1:26" ht="15.75" customHeight="1">
      <c r="A224" s="153"/>
      <c r="B224" s="161"/>
      <c r="C224" s="161"/>
      <c r="D224" s="153"/>
      <c r="E224" s="153"/>
      <c r="F224" s="153"/>
      <c r="G224" s="153"/>
      <c r="H224" s="153"/>
      <c r="I224" s="153"/>
      <c r="J224" s="153"/>
      <c r="K224" s="153"/>
      <c r="L224" s="153"/>
      <c r="M224" s="153"/>
      <c r="N224" s="153"/>
      <c r="O224" s="153"/>
      <c r="P224" s="153"/>
      <c r="Q224" s="153"/>
      <c r="R224" s="153"/>
      <c r="S224" s="153"/>
      <c r="T224" s="153"/>
      <c r="U224" s="153"/>
      <c r="V224" s="153"/>
      <c r="W224" s="153"/>
      <c r="X224" s="154"/>
      <c r="Y224" s="154"/>
      <c r="Z224" s="154"/>
    </row>
    <row r="225" spans="1:26" ht="15.75" customHeight="1">
      <c r="A225" s="153"/>
      <c r="B225" s="161"/>
      <c r="C225" s="161"/>
      <c r="D225" s="153"/>
      <c r="E225" s="153"/>
      <c r="F225" s="153"/>
      <c r="G225" s="153"/>
      <c r="H225" s="153"/>
      <c r="I225" s="153"/>
      <c r="J225" s="153"/>
      <c r="K225" s="153"/>
      <c r="L225" s="153"/>
      <c r="M225" s="153"/>
      <c r="N225" s="153"/>
      <c r="O225" s="153"/>
      <c r="P225" s="153"/>
      <c r="Q225" s="153"/>
      <c r="R225" s="153"/>
      <c r="S225" s="153"/>
      <c r="T225" s="153"/>
      <c r="U225" s="153"/>
      <c r="V225" s="153"/>
      <c r="W225" s="153"/>
      <c r="X225" s="154"/>
      <c r="Y225" s="154"/>
      <c r="Z225" s="154"/>
    </row>
    <row r="226" spans="1:26" ht="15.75" customHeight="1">
      <c r="A226" s="153"/>
      <c r="B226" s="161"/>
      <c r="C226" s="161"/>
      <c r="D226" s="153"/>
      <c r="E226" s="153"/>
      <c r="F226" s="153"/>
      <c r="G226" s="153"/>
      <c r="H226" s="153"/>
      <c r="I226" s="153"/>
      <c r="J226" s="153"/>
      <c r="K226" s="153"/>
      <c r="L226" s="153"/>
      <c r="M226" s="153"/>
      <c r="N226" s="153"/>
      <c r="O226" s="153"/>
      <c r="P226" s="153"/>
      <c r="Q226" s="153"/>
      <c r="R226" s="153"/>
      <c r="S226" s="153"/>
      <c r="T226" s="153"/>
      <c r="U226" s="153"/>
      <c r="V226" s="153"/>
      <c r="W226" s="153"/>
      <c r="X226" s="154"/>
      <c r="Y226" s="154"/>
      <c r="Z226" s="154"/>
    </row>
    <row r="227" spans="1:26" ht="15.75" customHeight="1">
      <c r="A227" s="153"/>
      <c r="B227" s="161"/>
      <c r="C227" s="161"/>
      <c r="D227" s="153"/>
      <c r="E227" s="153"/>
      <c r="F227" s="153"/>
      <c r="G227" s="153"/>
      <c r="H227" s="153"/>
      <c r="I227" s="153"/>
      <c r="J227" s="153"/>
      <c r="K227" s="153"/>
      <c r="L227" s="153"/>
      <c r="M227" s="153"/>
      <c r="N227" s="153"/>
      <c r="O227" s="153"/>
      <c r="P227" s="153"/>
      <c r="Q227" s="153"/>
      <c r="R227" s="153"/>
      <c r="S227" s="153"/>
      <c r="T227" s="153"/>
      <c r="U227" s="153"/>
      <c r="V227" s="153"/>
      <c r="W227" s="153"/>
      <c r="X227" s="154"/>
      <c r="Y227" s="154"/>
      <c r="Z227" s="154"/>
    </row>
    <row r="228" spans="1:26" ht="15.75" customHeight="1">
      <c r="A228" s="153"/>
      <c r="B228" s="161"/>
      <c r="C228" s="161"/>
      <c r="D228" s="153"/>
      <c r="E228" s="153"/>
      <c r="F228" s="153"/>
      <c r="G228" s="153"/>
      <c r="H228" s="153"/>
      <c r="I228" s="153"/>
      <c r="J228" s="153"/>
      <c r="K228" s="153"/>
      <c r="L228" s="153"/>
      <c r="M228" s="153"/>
      <c r="N228" s="153"/>
      <c r="O228" s="153"/>
      <c r="P228" s="153"/>
      <c r="Q228" s="153"/>
      <c r="R228" s="153"/>
      <c r="S228" s="153"/>
      <c r="T228" s="153"/>
      <c r="U228" s="153"/>
      <c r="V228" s="153"/>
      <c r="W228" s="153"/>
      <c r="X228" s="154"/>
      <c r="Y228" s="154"/>
      <c r="Z228" s="154"/>
    </row>
    <row r="229" spans="1:26" ht="15.75" customHeight="1">
      <c r="A229" s="153"/>
      <c r="B229" s="161"/>
      <c r="C229" s="161"/>
      <c r="D229" s="153"/>
      <c r="E229" s="153"/>
      <c r="F229" s="153"/>
      <c r="G229" s="153"/>
      <c r="H229" s="153"/>
      <c r="I229" s="153"/>
      <c r="J229" s="153"/>
      <c r="K229" s="153"/>
      <c r="L229" s="153"/>
      <c r="M229" s="153"/>
      <c r="N229" s="153"/>
      <c r="O229" s="153"/>
      <c r="P229" s="153"/>
      <c r="Q229" s="153"/>
      <c r="R229" s="153"/>
      <c r="S229" s="153"/>
      <c r="T229" s="153"/>
      <c r="U229" s="153"/>
      <c r="V229" s="153"/>
      <c r="W229" s="153"/>
      <c r="X229" s="154"/>
      <c r="Y229" s="154"/>
      <c r="Z229" s="154"/>
    </row>
    <row r="230" spans="1:26" ht="15.75" customHeight="1">
      <c r="A230" s="153"/>
      <c r="B230" s="161"/>
      <c r="C230" s="161"/>
      <c r="D230" s="153"/>
      <c r="E230" s="153"/>
      <c r="F230" s="153"/>
      <c r="G230" s="153"/>
      <c r="H230" s="153"/>
      <c r="I230" s="153"/>
      <c r="J230" s="153"/>
      <c r="K230" s="153"/>
      <c r="L230" s="153"/>
      <c r="M230" s="153"/>
      <c r="N230" s="153"/>
      <c r="O230" s="153"/>
      <c r="P230" s="153"/>
      <c r="Q230" s="153"/>
      <c r="R230" s="153"/>
      <c r="S230" s="153"/>
      <c r="T230" s="153"/>
      <c r="U230" s="153"/>
      <c r="V230" s="153"/>
      <c r="W230" s="153"/>
      <c r="X230" s="154"/>
      <c r="Y230" s="154"/>
      <c r="Z230" s="154"/>
    </row>
    <row r="231" spans="1:26" ht="15.75" customHeight="1">
      <c r="A231" s="153"/>
      <c r="B231" s="161"/>
      <c r="C231" s="161"/>
      <c r="D231" s="153"/>
      <c r="E231" s="153"/>
      <c r="F231" s="153"/>
      <c r="G231" s="153"/>
      <c r="H231" s="153"/>
      <c r="I231" s="153"/>
      <c r="J231" s="153"/>
      <c r="K231" s="153"/>
      <c r="L231" s="153"/>
      <c r="M231" s="153"/>
      <c r="N231" s="153"/>
      <c r="O231" s="153"/>
      <c r="P231" s="153"/>
      <c r="Q231" s="153"/>
      <c r="R231" s="153"/>
      <c r="S231" s="153"/>
      <c r="T231" s="153"/>
      <c r="U231" s="153"/>
      <c r="V231" s="153"/>
      <c r="W231" s="153"/>
      <c r="X231" s="154"/>
      <c r="Y231" s="154"/>
      <c r="Z231" s="154"/>
    </row>
    <row r="232" spans="1:26" ht="15.75" customHeight="1">
      <c r="A232" s="153"/>
      <c r="B232" s="161"/>
      <c r="C232" s="161"/>
      <c r="D232" s="153"/>
      <c r="E232" s="153"/>
      <c r="F232" s="153"/>
      <c r="G232" s="153"/>
      <c r="H232" s="153"/>
      <c r="I232" s="153"/>
      <c r="J232" s="153"/>
      <c r="K232" s="153"/>
      <c r="L232" s="153"/>
      <c r="M232" s="153"/>
      <c r="N232" s="153"/>
      <c r="O232" s="153"/>
      <c r="P232" s="153"/>
      <c r="Q232" s="153"/>
      <c r="R232" s="153"/>
      <c r="S232" s="153"/>
      <c r="T232" s="153"/>
      <c r="U232" s="153"/>
      <c r="V232" s="153"/>
      <c r="W232" s="153"/>
      <c r="X232" s="154"/>
      <c r="Y232" s="154"/>
      <c r="Z232" s="154"/>
    </row>
    <row r="233" spans="1:26" ht="15.75" customHeight="1">
      <c r="A233" s="153"/>
      <c r="B233" s="161"/>
      <c r="C233" s="161"/>
      <c r="D233" s="153"/>
      <c r="E233" s="153"/>
      <c r="F233" s="153"/>
      <c r="G233" s="153"/>
      <c r="H233" s="153"/>
      <c r="I233" s="153"/>
      <c r="J233" s="153"/>
      <c r="K233" s="153"/>
      <c r="L233" s="153"/>
      <c r="M233" s="153"/>
      <c r="N233" s="153"/>
      <c r="O233" s="153"/>
      <c r="P233" s="153"/>
      <c r="Q233" s="153"/>
      <c r="R233" s="153"/>
      <c r="S233" s="153"/>
      <c r="T233" s="153"/>
      <c r="U233" s="153"/>
      <c r="V233" s="153"/>
      <c r="W233" s="153"/>
      <c r="X233" s="154"/>
      <c r="Y233" s="154"/>
      <c r="Z233" s="154"/>
    </row>
    <row r="234" spans="1:26" ht="15.75" customHeight="1">
      <c r="A234" s="153"/>
      <c r="B234" s="161"/>
      <c r="C234" s="161"/>
      <c r="D234" s="153"/>
      <c r="E234" s="153"/>
      <c r="F234" s="153"/>
      <c r="G234" s="153"/>
      <c r="H234" s="153"/>
      <c r="I234" s="153"/>
      <c r="J234" s="153"/>
      <c r="K234" s="153"/>
      <c r="L234" s="153"/>
      <c r="M234" s="153"/>
      <c r="N234" s="153"/>
      <c r="O234" s="153"/>
      <c r="P234" s="153"/>
      <c r="Q234" s="153"/>
      <c r="R234" s="153"/>
      <c r="S234" s="153"/>
      <c r="T234" s="153"/>
      <c r="U234" s="153"/>
      <c r="V234" s="153"/>
      <c r="W234" s="153"/>
      <c r="X234" s="154"/>
      <c r="Y234" s="154"/>
      <c r="Z234" s="154"/>
    </row>
    <row r="235" spans="1:26" ht="15.75" customHeight="1">
      <c r="A235" s="153"/>
      <c r="B235" s="161"/>
      <c r="C235" s="161"/>
      <c r="D235" s="153"/>
      <c r="E235" s="153"/>
      <c r="F235" s="153"/>
      <c r="G235" s="153"/>
      <c r="H235" s="153"/>
      <c r="I235" s="153"/>
      <c r="J235" s="153"/>
      <c r="K235" s="153"/>
      <c r="L235" s="153"/>
      <c r="M235" s="153"/>
      <c r="N235" s="153"/>
      <c r="O235" s="153"/>
      <c r="P235" s="153"/>
      <c r="Q235" s="153"/>
      <c r="R235" s="153"/>
      <c r="S235" s="153"/>
      <c r="T235" s="153"/>
      <c r="U235" s="153"/>
      <c r="V235" s="153"/>
      <c r="W235" s="153"/>
      <c r="X235" s="154"/>
      <c r="Y235" s="154"/>
      <c r="Z235" s="154"/>
    </row>
    <row r="236" spans="1:26" ht="15.75" customHeight="1">
      <c r="A236" s="153"/>
      <c r="B236" s="161"/>
      <c r="C236" s="161"/>
      <c r="D236" s="153"/>
      <c r="E236" s="153"/>
      <c r="F236" s="153"/>
      <c r="G236" s="153"/>
      <c r="H236" s="153"/>
      <c r="I236" s="153"/>
      <c r="J236" s="153"/>
      <c r="K236" s="153"/>
      <c r="L236" s="153"/>
      <c r="M236" s="153"/>
      <c r="N236" s="153"/>
      <c r="O236" s="153"/>
      <c r="P236" s="153"/>
      <c r="Q236" s="153"/>
      <c r="R236" s="153"/>
      <c r="S236" s="153"/>
      <c r="T236" s="153"/>
      <c r="U236" s="153"/>
      <c r="V236" s="153"/>
      <c r="W236" s="153"/>
      <c r="X236" s="154"/>
      <c r="Y236" s="154"/>
      <c r="Z236" s="154"/>
    </row>
    <row r="237" spans="1:26" ht="15.75" customHeight="1">
      <c r="A237" s="153"/>
      <c r="B237" s="161"/>
      <c r="C237" s="161"/>
      <c r="D237" s="153"/>
      <c r="E237" s="153"/>
      <c r="F237" s="153"/>
      <c r="G237" s="153"/>
      <c r="H237" s="153"/>
      <c r="I237" s="153"/>
      <c r="J237" s="153"/>
      <c r="K237" s="153"/>
      <c r="L237" s="153"/>
      <c r="M237" s="153"/>
      <c r="N237" s="153"/>
      <c r="O237" s="153"/>
      <c r="P237" s="153"/>
      <c r="Q237" s="153"/>
      <c r="R237" s="153"/>
      <c r="S237" s="153"/>
      <c r="T237" s="153"/>
      <c r="U237" s="153"/>
      <c r="V237" s="153"/>
      <c r="W237" s="153"/>
      <c r="X237" s="154"/>
      <c r="Y237" s="154"/>
      <c r="Z237" s="154"/>
    </row>
    <row r="238" spans="1:26" ht="15.75" customHeight="1">
      <c r="A238" s="153"/>
      <c r="B238" s="161"/>
      <c r="C238" s="161"/>
      <c r="D238" s="153"/>
      <c r="E238" s="153"/>
      <c r="F238" s="153"/>
      <c r="G238" s="153"/>
      <c r="H238" s="153"/>
      <c r="I238" s="153"/>
      <c r="J238" s="153"/>
      <c r="K238" s="153"/>
      <c r="L238" s="153"/>
      <c r="M238" s="153"/>
      <c r="N238" s="153"/>
      <c r="O238" s="153"/>
      <c r="P238" s="153"/>
      <c r="Q238" s="153"/>
      <c r="R238" s="153"/>
      <c r="S238" s="153"/>
      <c r="T238" s="153"/>
      <c r="U238" s="153"/>
      <c r="V238" s="153"/>
      <c r="W238" s="153"/>
      <c r="X238" s="154"/>
      <c r="Y238" s="154"/>
      <c r="Z238" s="154"/>
    </row>
    <row r="239" spans="1:26" ht="15.75" customHeight="1">
      <c r="A239" s="153"/>
      <c r="B239" s="161"/>
      <c r="C239" s="161"/>
      <c r="D239" s="153"/>
      <c r="E239" s="153"/>
      <c r="F239" s="153"/>
      <c r="G239" s="153"/>
      <c r="H239" s="153"/>
      <c r="I239" s="153"/>
      <c r="J239" s="153"/>
      <c r="K239" s="153"/>
      <c r="L239" s="153"/>
      <c r="M239" s="153"/>
      <c r="N239" s="153"/>
      <c r="O239" s="153"/>
      <c r="P239" s="153"/>
      <c r="Q239" s="153"/>
      <c r="R239" s="153"/>
      <c r="S239" s="153"/>
      <c r="T239" s="153"/>
      <c r="U239" s="153"/>
      <c r="V239" s="153"/>
      <c r="W239" s="153"/>
      <c r="X239" s="154"/>
      <c r="Y239" s="154"/>
      <c r="Z239" s="154"/>
    </row>
    <row r="240" spans="1:26" ht="15.75" customHeight="1">
      <c r="A240" s="153"/>
      <c r="B240" s="161"/>
      <c r="C240" s="161"/>
      <c r="D240" s="153"/>
      <c r="E240" s="153"/>
      <c r="F240" s="153"/>
      <c r="G240" s="153"/>
      <c r="H240" s="153"/>
      <c r="I240" s="153"/>
      <c r="J240" s="153"/>
      <c r="K240" s="153"/>
      <c r="L240" s="153"/>
      <c r="M240" s="153"/>
      <c r="N240" s="153"/>
      <c r="O240" s="153"/>
      <c r="P240" s="153"/>
      <c r="Q240" s="153"/>
      <c r="R240" s="153"/>
      <c r="S240" s="153"/>
      <c r="T240" s="153"/>
      <c r="U240" s="153"/>
      <c r="V240" s="153"/>
      <c r="W240" s="153"/>
      <c r="X240" s="154"/>
      <c r="Y240" s="154"/>
      <c r="Z240" s="154"/>
    </row>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hyperlinks>
    <hyperlink ref="A3" r:id="rId1" xr:uid="{00000000-0004-0000-0500-000000000000}"/>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E2:S2"/>
  <sheetViews>
    <sheetView workbookViewId="0"/>
  </sheetViews>
  <sheetFormatPr defaultRowHeight="13.2"/>
  <sheetData>
    <row r="2" spans="5:19">
      <c r="E2" t="s">
        <v>803</v>
      </c>
      <c r="F2" t="s">
        <v>219</v>
      </c>
      <c r="G2" t="s">
        <v>804</v>
      </c>
      <c r="H2" t="s">
        <v>805</v>
      </c>
      <c r="I2" t="s">
        <v>218</v>
      </c>
      <c r="J2" t="s">
        <v>806</v>
      </c>
      <c r="K2" t="s">
        <v>807</v>
      </c>
      <c r="L2" t="s">
        <v>808</v>
      </c>
      <c r="M2" t="s">
        <v>789</v>
      </c>
      <c r="N2" t="s">
        <v>809</v>
      </c>
      <c r="O2" t="s">
        <v>810</v>
      </c>
      <c r="P2" t="s">
        <v>811</v>
      </c>
      <c r="S2" t="s">
        <v>812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RowHeight="13.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vt:lpstr>
      <vt:lpstr>Payout Breakup</vt:lpstr>
      <vt:lpstr>Order Level</vt:lpstr>
      <vt:lpstr>Addition Deductions Details</vt:lpstr>
      <vt:lpstr>Discounts Summary</vt:lpstr>
      <vt:lpstr>Glossary</vt:lpstr>
      <vt:lpstr>HSummary</vt:lpstr>
      <vt:lpstr>HDiscount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Accounts Department Purnabramha</dc:creator>
  <cp:lastModifiedBy>Accounts Department Purnabramha</cp:lastModifiedBy>
  <dcterms:created xsi:type="dcterms:W3CDTF">2026-03-03T11:35:02Z</dcterms:created>
  <dcterms:modified xsi:type="dcterms:W3CDTF">2026-03-03T11:37:15Z</dcterms:modified>
</cp:coreProperties>
</file>